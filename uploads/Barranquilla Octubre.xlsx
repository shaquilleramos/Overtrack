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13_ncr:9_{18416E7F-82A5-48E6-84CE-BDC9551436FF}" xr6:coauthVersionLast="47" xr6:coauthVersionMax="47" xr10:uidLastSave="{00000000-0000-0000-0000-000000000000}"/>
  <bookViews>
    <workbookView xWindow="-120" yWindow="-120" windowWidth="29040" windowHeight="15720" xr2:uid="{B716745A-6A88-453C-9103-0E043DDA6267}"/>
  </bookViews>
  <sheets>
    <sheet name="Reporte de atenciones-data-2025" sheetId="1" r:id="rId1"/>
  </sheets>
  <definedNames>
    <definedName name="_xlnm._FilterDatabase" localSheetId="0" hidden="1">'Reporte de atenciones-data-2025'!$A$1:$AD$254</definedName>
  </definedNames>
  <calcPr calcId="0"/>
</workbook>
</file>

<file path=xl/calcChain.xml><?xml version="1.0" encoding="utf-8"?>
<calcChain xmlns="http://schemas.openxmlformats.org/spreadsheetml/2006/main">
  <c r="J179" i="1" l="1"/>
  <c r="J178" i="1"/>
  <c r="J180" i="1"/>
  <c r="J127" i="1"/>
  <c r="J136" i="1"/>
  <c r="J195" i="1"/>
  <c r="J196" i="1"/>
  <c r="J197" i="1"/>
  <c r="J198" i="1"/>
  <c r="J199" i="1"/>
  <c r="J200" i="1"/>
  <c r="J36" i="1"/>
  <c r="J37" i="1"/>
  <c r="J38" i="1"/>
  <c r="J157" i="1"/>
  <c r="J158" i="1"/>
  <c r="J159" i="1"/>
  <c r="J160" i="1"/>
  <c r="J161" i="1"/>
  <c r="J162" i="1"/>
  <c r="J163" i="1"/>
  <c r="J164" i="1"/>
  <c r="J92" i="1"/>
  <c r="J93" i="1"/>
  <c r="J31" i="1"/>
  <c r="J18" i="1"/>
  <c r="J19" i="1"/>
  <c r="J20" i="1"/>
  <c r="J65" i="1"/>
  <c r="J66" i="1"/>
  <c r="J67" i="1"/>
  <c r="J68" i="1"/>
  <c r="J69" i="1"/>
  <c r="J32" i="1"/>
  <c r="J102" i="1"/>
  <c r="J103" i="1"/>
  <c r="J39" i="1"/>
  <c r="J236" i="1"/>
  <c r="J237" i="1"/>
  <c r="J238" i="1"/>
  <c r="J239" i="1"/>
  <c r="J209" i="1"/>
  <c r="J210" i="1"/>
  <c r="J240" i="1"/>
  <c r="J207" i="1"/>
  <c r="J208" i="1"/>
  <c r="J117" i="1"/>
  <c r="J118" i="1"/>
  <c r="J50" i="1"/>
  <c r="J51" i="1"/>
  <c r="J52" i="1"/>
  <c r="J133" i="1"/>
  <c r="J134" i="1"/>
  <c r="J40" i="1"/>
  <c r="J105" i="1"/>
  <c r="J106" i="1"/>
  <c r="J107" i="1"/>
  <c r="J108" i="1"/>
  <c r="J109" i="1"/>
  <c r="J110" i="1"/>
  <c r="J125" i="1"/>
  <c r="J126" i="1"/>
  <c r="J186" i="1"/>
  <c r="J187" i="1"/>
  <c r="J188" i="1"/>
  <c r="J189" i="1"/>
  <c r="J190" i="1"/>
  <c r="J191" i="1"/>
  <c r="J192" i="1"/>
  <c r="J212" i="1"/>
  <c r="J250" i="1"/>
  <c r="J114" i="1"/>
  <c r="J128" i="1"/>
  <c r="J129" i="1"/>
  <c r="J130" i="1"/>
  <c r="J131" i="1"/>
  <c r="J139" i="1"/>
  <c r="J140" i="1"/>
  <c r="J141" i="1"/>
  <c r="J229" i="1"/>
  <c r="J230" i="1"/>
  <c r="J224" i="1"/>
  <c r="J225" i="1"/>
  <c r="J35" i="1"/>
  <c r="J146" i="1"/>
  <c r="J147" i="1"/>
  <c r="J148" i="1"/>
  <c r="J149" i="1"/>
  <c r="J150" i="1"/>
  <c r="J151" i="1"/>
  <c r="J152" i="1"/>
  <c r="J94" i="1"/>
  <c r="J95" i="1"/>
  <c r="J96" i="1"/>
  <c r="J97" i="1"/>
  <c r="J98" i="1"/>
  <c r="J99" i="1"/>
  <c r="J241" i="1"/>
  <c r="J78" i="1"/>
  <c r="J79" i="1"/>
  <c r="J80" i="1"/>
  <c r="J145" i="1"/>
  <c r="J123" i="1"/>
  <c r="J120" i="1"/>
  <c r="J121" i="1"/>
  <c r="J8" i="1"/>
  <c r="J9" i="1"/>
  <c r="J10" i="1"/>
  <c r="J174" i="1"/>
  <c r="J81" i="1"/>
  <c r="J82" i="1"/>
  <c r="J83" i="1"/>
  <c r="J84" i="1"/>
  <c r="J85" i="1"/>
  <c r="J86" i="1"/>
  <c r="J222" i="1"/>
  <c r="J223" i="1"/>
  <c r="J11" i="1"/>
  <c r="J227" i="1"/>
  <c r="J228" i="1"/>
  <c r="J169" i="1"/>
  <c r="J170" i="1"/>
  <c r="J171" i="1"/>
  <c r="J172" i="1"/>
  <c r="J173" i="1"/>
  <c r="J213" i="1"/>
  <c r="J214" i="1"/>
  <c r="J215" i="1"/>
  <c r="J47" i="1"/>
  <c r="J48" i="1"/>
  <c r="J49" i="1"/>
  <c r="J244" i="1"/>
  <c r="J245" i="1"/>
  <c r="J246" i="1"/>
  <c r="J247" i="1"/>
  <c r="J248" i="1"/>
  <c r="J249" i="1"/>
  <c r="J167" i="1"/>
  <c r="J168" i="1"/>
  <c r="J2" i="1"/>
  <c r="J113" i="1"/>
  <c r="J124" i="1"/>
  <c r="J176" i="1"/>
  <c r="J60" i="1"/>
  <c r="J61" i="1"/>
  <c r="J62" i="1"/>
  <c r="J63" i="1"/>
  <c r="J41" i="1"/>
  <c r="J22" i="1"/>
  <c r="J23" i="1"/>
  <c r="J24" i="1"/>
  <c r="J251" i="1"/>
  <c r="J252" i="1"/>
  <c r="J253" i="1"/>
  <c r="J254" i="1"/>
  <c r="J72" i="1"/>
  <c r="J153" i="1"/>
  <c r="J154" i="1"/>
  <c r="J135" i="1"/>
  <c r="J219" i="1"/>
  <c r="J77" i="1"/>
  <c r="J231" i="1"/>
  <c r="J232" i="1"/>
  <c r="J233" i="1"/>
  <c r="J234" i="1"/>
  <c r="J235" i="1"/>
  <c r="J181" i="1"/>
  <c r="J182" i="1"/>
  <c r="J115" i="1"/>
  <c r="J116" i="1"/>
  <c r="J142" i="1"/>
  <c r="J143" i="1"/>
  <c r="J185" i="1"/>
  <c r="J13" i="1"/>
  <c r="J14" i="1"/>
  <c r="J15" i="1"/>
  <c r="J16" i="1"/>
  <c r="J17" i="1"/>
  <c r="J28" i="1"/>
  <c r="J29" i="1"/>
  <c r="J137" i="1"/>
  <c r="J184" i="1"/>
  <c r="J119" i="1"/>
  <c r="J43" i="1"/>
  <c r="J44" i="1"/>
  <c r="J45" i="1"/>
  <c r="J74" i="1"/>
  <c r="J75" i="1"/>
  <c r="J25" i="1"/>
  <c r="J26" i="1"/>
  <c r="J27" i="1"/>
  <c r="J73" i="1"/>
  <c r="J132" i="1"/>
  <c r="J7" i="1"/>
  <c r="J42" i="1"/>
  <c r="J165" i="1"/>
  <c r="J166" i="1"/>
  <c r="J100" i="1"/>
  <c r="J216" i="1"/>
  <c r="J70" i="1"/>
  <c r="J71" i="1"/>
  <c r="J33" i="1"/>
  <c r="J34" i="1"/>
  <c r="J87" i="1"/>
  <c r="J88" i="1"/>
  <c r="J89" i="1"/>
  <c r="J90" i="1"/>
  <c r="J91" i="1"/>
  <c r="J201" i="1"/>
  <c r="J202" i="1"/>
  <c r="J203" i="1"/>
  <c r="J193" i="1"/>
  <c r="J194" i="1"/>
  <c r="J242" i="1"/>
  <c r="J217" i="1"/>
  <c r="J204" i="1"/>
  <c r="J56" i="1"/>
  <c r="J57" i="1"/>
  <c r="J58" i="1"/>
  <c r="J59" i="1"/>
  <c r="J205" i="1"/>
  <c r="J206" i="1"/>
  <c r="J6" i="1"/>
  <c r="J138" i="1"/>
  <c r="J175" i="1"/>
  <c r="J104" i="1"/>
  <c r="J220" i="1"/>
  <c r="J183" i="1"/>
  <c r="J218" i="1"/>
  <c r="J155" i="1"/>
  <c r="J111" i="1"/>
  <c r="J112" i="1"/>
  <c r="J21" i="1"/>
  <c r="J54" i="1"/>
  <c r="J122" i="1"/>
  <c r="J76" i="1"/>
  <c r="J221" i="1"/>
  <c r="J226" i="1"/>
  <c r="J30" i="1"/>
  <c r="J177" i="1"/>
  <c r="J3" i="1"/>
  <c r="J55" i="1"/>
  <c r="J101" i="1"/>
  <c r="J243" i="1"/>
  <c r="J46" i="1"/>
  <c r="J12" i="1"/>
  <c r="J4" i="1"/>
  <c r="J5" i="1"/>
  <c r="J211" i="1"/>
  <c r="J156" i="1"/>
  <c r="J53" i="1"/>
  <c r="J64" i="1"/>
  <c r="J144" i="1"/>
</calcChain>
</file>

<file path=xl/sharedStrings.xml><?xml version="1.0" encoding="utf-8"?>
<sst xmlns="http://schemas.openxmlformats.org/spreadsheetml/2006/main" count="3494" uniqueCount="835">
  <si>
    <t>id_cita</t>
  </si>
  <si>
    <t>Fecha</t>
  </si>
  <si>
    <t>agenda</t>
  </si>
  <si>
    <t>profesional</t>
  </si>
  <si>
    <t>fecha_inicio</t>
  </si>
  <si>
    <t>fecha_fin</t>
  </si>
  <si>
    <t>tratamiento</t>
  </si>
  <si>
    <t>Rut</t>
  </si>
  <si>
    <t>paciente</t>
  </si>
  <si>
    <t>telefono</t>
  </si>
  <si>
    <t>Email</t>
  </si>
  <si>
    <t>to_char</t>
  </si>
  <si>
    <t>edad</t>
  </si>
  <si>
    <t>identidad_de_genero</t>
  </si>
  <si>
    <t>Referencia</t>
  </si>
  <si>
    <t>primer_nombre</t>
  </si>
  <si>
    <t>segundo_nombre</t>
  </si>
  <si>
    <t>apellido_paterno</t>
  </si>
  <si>
    <t>apellido_materno</t>
  </si>
  <si>
    <t>Fecha de creacion</t>
  </si>
  <si>
    <t>Comercial</t>
  </si>
  <si>
    <t>Estado</t>
  </si>
  <si>
    <t>Diagnostico_CIE_10</t>
  </si>
  <si>
    <t>Dx1</t>
  </si>
  <si>
    <t>Dx2</t>
  </si>
  <si>
    <t>Dx3</t>
  </si>
  <si>
    <t>Dx4</t>
  </si>
  <si>
    <t>Dx5</t>
  </si>
  <si>
    <t>comentario</t>
  </si>
  <si>
    <t>Consulta control</t>
  </si>
  <si>
    <t>Consulta control - post implante</t>
  </si>
  <si>
    <t>lunita.juanes@gmail.com</t>
  </si>
  <si>
    <t>Instagram</t>
  </si>
  <si>
    <t>Elkin</t>
  </si>
  <si>
    <t>DarÃ­o</t>
  </si>
  <si>
    <t>Arroyave</t>
  </si>
  <si>
    <t>SuÃ¡rez</t>
  </si>
  <si>
    <t>Maria jose</t>
  </si>
  <si>
    <t>Atendido</t>
  </si>
  <si>
    <t>L649 - ALOPECIA ANDROGENA, NO ESPECIFICADA
Z410 - TRASPLANTE DE PELO</t>
  </si>
  <si>
    <t>confirmado_repetido</t>
  </si>
  <si>
    <t>consulta 3 mes de implante + fotos no pudo asistir , solicitÃ³ que le colaborara con la cita anticipada, se reprogramo no pudo asistir, ya tiene 5 meses de implante indica que se le presento la oportunidad de venir a barranquilla por lo que se le agenda la consulta.</t>
  </si>
  <si>
    <t>Consulta Seguimiento</t>
  </si>
  <si>
    <t>Patricia De La Milagrosa Gil MuÃ±oz</t>
  </si>
  <si>
    <t>Patjo221@hotmail.com</t>
  </si>
  <si>
    <t>google</t>
  </si>
  <si>
    <t>Patricia</t>
  </si>
  <si>
    <t>De La Milagrosa</t>
  </si>
  <si>
    <t>Gil</t>
  </si>
  <si>
    <t>MuÃ±oz</t>
  </si>
  <si>
    <t>No llego</t>
  </si>
  <si>
    <t>L649 - ALOPECIA ANDROGENA, NO ESPECIFICADA
L650 - PERDIDA CAPILAR TELOGENA</t>
  </si>
  <si>
    <t>revision de pacientes por medicamentos</t>
  </si>
  <si>
    <t>Terapias Capilares</t>
  </si>
  <si>
    <t>DANNA BRIGITTE MARTINEZ BERTEL</t>
  </si>
  <si>
    <t>Dutasteride</t>
  </si>
  <si>
    <t>terapia duta 1 - 3</t>
  </si>
  <si>
    <t>Consulta primera vez</t>
  </si>
  <si>
    <t>$80</t>
  </si>
  <si>
    <t>Jorge Miguel Otero Morales</t>
  </si>
  <si>
    <t>migueotero84@gmail.com</t>
  </si>
  <si>
    <t>referido</t>
  </si>
  <si>
    <t>Jorge</t>
  </si>
  <si>
    <t>Miguel</t>
  </si>
  <si>
    <t>Otero</t>
  </si>
  <si>
    <t>Morales</t>
  </si>
  <si>
    <t>L649 - ALOPECIA ANDROGENA, NO ESPECIFICADA</t>
  </si>
  <si>
    <t>impresion_diagnostica</t>
  </si>
  <si>
    <t>no_aplica</t>
  </si>
  <si>
    <t>CONSULTA 6 MES DE CONTROL - implante de practica indica que se le presento la oportunidad de venir el 3 de octubre a barranquilla desea asistir a consulta para que le actualicen la formula y llevar medicamentos.</t>
  </si>
  <si>
    <t>Marcela Hoyos</t>
  </si>
  <si>
    <t>Retoque</t>
  </si>
  <si>
    <t>Julian Alberto Santamaria Espitia</t>
  </si>
  <si>
    <t>Julian_200603@hotmail.com</t>
  </si>
  <si>
    <t>H</t>
  </si>
  <si>
    <t>Julian</t>
  </si>
  <si>
    <t>Alberto</t>
  </si>
  <si>
    <t>Santamaria</t>
  </si>
  <si>
    <t>Espitia</t>
  </si>
  <si>
    <t>Evelin</t>
  </si>
  <si>
    <t xml:space="preserve">CONSULTA DE CONTROL 9 MES DE IMPLANTE CAPILAR - paciente se encuentra en la sede bogota </t>
  </si>
  <si>
    <t>Lavados</t>
  </si>
  <si>
    <t xml:space="preserve">Camara hiperbarica </t>
  </si>
  <si>
    <t>Ricardo David Daguer Castrellon</t>
  </si>
  <si>
    <t>rdaguerc24@gmail.com</t>
  </si>
  <si>
    <t>Ricardo</t>
  </si>
  <si>
    <t>David</t>
  </si>
  <si>
    <t>Daguer</t>
  </si>
  <si>
    <t>Castrellon</t>
  </si>
  <si>
    <t>Llego</t>
  </si>
  <si>
    <t>2-4 camara hiperbarica</t>
  </si>
  <si>
    <t>Mesoterapia + Laser</t>
  </si>
  <si>
    <t>Terapia regular 5 - 9 MESO + LASER</t>
  </si>
  <si>
    <t xml:space="preserve"> 2 - 4 camara hiperbarica </t>
  </si>
  <si>
    <t>Reprogramado</t>
  </si>
  <si>
    <t xml:space="preserve"> 2 - 4 camara hiperbarica . SEÃ‘OR MICHEL INDICO REPROGRAMATR CAMARA HIPERBARICA POR MANTENIMIENTO </t>
  </si>
  <si>
    <t>Terapia regular 4 - 9 MESO + LASER</t>
  </si>
  <si>
    <t>Carlos Adolfo Padilla Santis</t>
  </si>
  <si>
    <t>carlos.padillasantis@gmail.com</t>
  </si>
  <si>
    <t>otro</t>
  </si>
  <si>
    <t>Carlos</t>
  </si>
  <si>
    <t>Adolfo</t>
  </si>
  <si>
    <t>Padilla</t>
  </si>
  <si>
    <t>Santis</t>
  </si>
  <si>
    <t xml:space="preserve">	CONTROL DEL AÃ‘O DE IMPLANTE + fotos</t>
  </si>
  <si>
    <t xml:space="preserve">	CONTROL DEL AÃ‘O DE IMPLANTE</t>
  </si>
  <si>
    <t>CONTROL DEL AÃ‘O DE IMPLANTE</t>
  </si>
  <si>
    <t>Moyra Cristina Gonzalez Striedinger</t>
  </si>
  <si>
    <t xml:space="preserve">mcgs324@gmail.com </t>
  </si>
  <si>
    <t>Moyra</t>
  </si>
  <si>
    <t>Cristina</t>
  </si>
  <si>
    <t>Gonzalez</t>
  </si>
  <si>
    <t>Striedinger</t>
  </si>
  <si>
    <t xml:space="preserve">TERAPIA CHOQUE 8 - 12 MESO+ LASER - </t>
  </si>
  <si>
    <t xml:space="preserve">2 - 4 camara hiperbarica se reprograma la </t>
  </si>
  <si>
    <t xml:space="preserve">	TERAPIA CHOQUE 6 - 12 MESO+ LASER - CAMARA HIPERBARICA PENDIENTE POR CANCELAR CUOTA DE 2 - 3 $ 1.275.000 - VALOR TOTAL $2.550.</t>
  </si>
  <si>
    <t>Suspendio</t>
  </si>
  <si>
    <t xml:space="preserve">	TERAPIA CHOQUE 6 - 12 MESO+ CAMARA HIPERBARICA PENDIENTE POR CANCELAR CUOTA DE 2 - 3 $ 1.275.000 - VALOR TOTAL $2.550.</t>
  </si>
  <si>
    <t>TERAPIA CHOQUE 7 - 12 MESO+ LASER - plasma  2 - 3 duta  CANCELAR 2 CUOTA $ 1.275.000 - PENDIENTE SALDO $1275.000</t>
  </si>
  <si>
    <t xml:space="preserve">	TERAPIA CHOQUE 5 - 12 MESO+ LASER  PENDIENTE POR CANCELAR CUOTA DE 2 - 3 $ 1.275.000 - VALOR TOTAL $2.550.</t>
  </si>
  <si>
    <t xml:space="preserve">retoque de micropigmentacion </t>
  </si>
  <si>
    <t xml:space="preserve">2 - 4 camara hiperbarica  se reprograma la paciente no desayuno </t>
  </si>
  <si>
    <t>Plasma Rico en Plaquetas</t>
  </si>
  <si>
    <t>Heiner David Escorcia Bengal</t>
  </si>
  <si>
    <t>HDEB.93@OUTLOOK.COM</t>
  </si>
  <si>
    <t>Heiner</t>
  </si>
  <si>
    <t>Escorcia</t>
  </si>
  <si>
    <t>Bengal</t>
  </si>
  <si>
    <t>sesiÃ³n de plasma obsequiada por grabaciÃ³n equipo marketing mas gel fijador</t>
  </si>
  <si>
    <t>2 sesiÃ³n se plasma 2 de 3 solo plasma debe 424.000.</t>
  </si>
  <si>
    <t>Benjamin Eduardo Molina Lobo</t>
  </si>
  <si>
    <t>ronaldmillwolf@hotmail.es</t>
  </si>
  <si>
    <t>Benjamin</t>
  </si>
  <si>
    <t>Eduardo</t>
  </si>
  <si>
    <t>Molina</t>
  </si>
  <si>
    <t>Lobo</t>
  </si>
  <si>
    <t>Confirmado</t>
  </si>
  <si>
    <t xml:space="preserve">	consulta de revision ya que tienen algunas dudas con el medicamento</t>
  </si>
  <si>
    <t xml:space="preserve">delahozceraandres@gmail.com </t>
  </si>
  <si>
    <t>AndrÃ©s</t>
  </si>
  <si>
    <t>Felipe</t>
  </si>
  <si>
    <t>De La Hoz</t>
  </si>
  <si>
    <t>Cera</t>
  </si>
  <si>
    <t xml:space="preserve">CONSULTA PARA INICIAR TEREAPIA RECOMENDADA EN LA PRIMERA CONSULTA HACE MESES EL PAPA TIENE DUDAS ACERCA DEL TRATAMIENTO DE TERAPIAS Y MEDICAMENTOS </t>
  </si>
  <si>
    <t xml:space="preserve">1 - 4 camara hiperbarica </t>
  </si>
  <si>
    <t>Plasma + Meso + Laser + 20min masaje</t>
  </si>
  <si>
    <t>inicia terapia de choque  1 - 12 meso + laser + plasma</t>
  </si>
  <si>
    <t>Lavado</t>
  </si>
  <si>
    <t>Lavado Post-implante</t>
  </si>
  <si>
    <t>Edwin  Pulido Huertas</t>
  </si>
  <si>
    <t>eventoshumorcolombia@gmail.com</t>
  </si>
  <si>
    <t>Edwin</t>
  </si>
  <si>
    <t>Pulido</t>
  </si>
  <si>
    <t>Huertas</t>
  </si>
  <si>
    <t>solo retiro de vendaje</t>
  </si>
  <si>
    <t>SOLICITO RETIRO DE VENDA</t>
  </si>
  <si>
    <t>Implante capilar</t>
  </si>
  <si>
    <t>Dra. Jenny</t>
  </si>
  <si>
    <t>2.500-3.000</t>
  </si>
  <si>
    <t>SEGUNDO DIA DE IMPLANTE DE PRACTICA DEBE PAGAR 600.000 MICROPIGMENTACIÃ’N ZONA C</t>
  </si>
  <si>
    <t>5.500-6.000</t>
  </si>
  <si>
    <t xml:space="preserve">PENDIENTE DEFINIR SI REQUIERE MICROPIMENTACIÃ’N EN CITA PRESENCIAL, 2 DIAS DE IMPLANTE </t>
  </si>
  <si>
    <t xml:space="preserve">L649 - ALOPECIA ANDROGENA, NO ESPECIFICADA
Z410 - TRASPLANTE DE PELO EN OTRA INSTITUCION. </t>
  </si>
  <si>
    <t>confirmado_nuevo</t>
  </si>
  <si>
    <t>CONSULTA PRESENCIAL, IMPLANTE DE PRACTICA , PENDIENTE CONFIRMAR SI REQUIERE MICROPIGMENTACIÃ’N Y ZONA-.
*DEL IMPLANTE DEBE 2.000.000 DE IMPLANTE MAS EL VALOR DE LAS ZONAS DE MICRO  1.000.000 TOTAL 3MILLONES</t>
  </si>
  <si>
    <t>Brayan Stiven Estepa Enriquez</t>
  </si>
  <si>
    <t>alemansteppa@gmail.com</t>
  </si>
  <si>
    <t>Brayan</t>
  </si>
  <si>
    <t>Stiven</t>
  </si>
  <si>
    <t>Estepa</t>
  </si>
  <si>
    <t>Enriquez</t>
  </si>
  <si>
    <t>L649 - ALOPECIA ANDROGENA, NO ESPECIFICADA
L219 - DERMATITIS SEBORREICA, NO ESPECIFICADA</t>
  </si>
  <si>
    <t>6 MES DE IMPLANTE DE CABELLO - FOTOS</t>
  </si>
  <si>
    <t>Hernando  Mesa Cardenas</t>
  </si>
  <si>
    <t>hernyjeremy@gmail.com</t>
  </si>
  <si>
    <t>Hernando</t>
  </si>
  <si>
    <t>Mesa</t>
  </si>
  <si>
    <t>Cardenas</t>
  </si>
  <si>
    <t>Z410 - TRASPLANTE DE PELO EN OTRA INSTITUCIÃ’N
L649 - ALOPECIA ANDROGENA, NO ESPECIFICADA</t>
  </si>
  <si>
    <t xml:space="preserve">2 - 2 drenaje </t>
  </si>
  <si>
    <t xml:space="preserve">	consulta 6 mes control virtual post implante, EL PACIENTE NO RESPONDE DEJA MENSAJES EN VISTO.</t>
  </si>
  <si>
    <t>Carlos Andres Herrera Rodriguez</t>
  </si>
  <si>
    <t>Carlosandres0110@gmail.com</t>
  </si>
  <si>
    <t>facebook</t>
  </si>
  <si>
    <t>Andres</t>
  </si>
  <si>
    <t>Herrera</t>
  </si>
  <si>
    <t>Rodriguez</t>
  </si>
  <si>
    <t>TERAPIA REGULAR 9- 9 meso+ laser + plasma</t>
  </si>
  <si>
    <t>Victor Leonardo Torrado Verjel</t>
  </si>
  <si>
    <t>ferretitoexpress@hotmail.com</t>
  </si>
  <si>
    <t>Victor</t>
  </si>
  <si>
    <t>Leonardo</t>
  </si>
  <si>
    <t>Torrado</t>
  </si>
  <si>
    <t>Verjel</t>
  </si>
  <si>
    <t>2-3 SESION DE CAMARA</t>
  </si>
  <si>
    <t>SEGUNDA SESION TERAPIA ESTANDAR</t>
  </si>
  <si>
    <t xml:space="preserve">	CONSULTA DE CONTROL 9 MES DE IMPLANTE CAPILAR</t>
  </si>
  <si>
    <t>Ronaldo Julio Molina Lobo</t>
  </si>
  <si>
    <t>Ronaldo</t>
  </si>
  <si>
    <t>Julio</t>
  </si>
  <si>
    <t>consulta de revision ya que tienen algunas dudas con el medicamento</t>
  </si>
  <si>
    <t xml:space="preserve">Roger  Quesada </t>
  </si>
  <si>
    <t>Rogerqlxg@hotmail.com</t>
  </si>
  <si>
    <t>Roger</t>
  </si>
  <si>
    <t>Quesada</t>
  </si>
  <si>
    <t>CONSULTA POST IMPLANTE . TIENE 3 MESES DE IMPLANTE ESTABA FUERA DEL PAIS.</t>
  </si>
  <si>
    <t>terapia unica meso + laser+ plasma</t>
  </si>
  <si>
    <t>Corte de Pelo + Blower</t>
  </si>
  <si>
    <t>Jason David Rivera Navarro</t>
  </si>
  <si>
    <t>jasonrivera1402@gmail.com</t>
  </si>
  <si>
    <t>Jason</t>
  </si>
  <si>
    <t>Rivera</t>
  </si>
  <si>
    <t>Navarro</t>
  </si>
  <si>
    <t>corte de cabello</t>
  </si>
  <si>
    <t>CONSULTA DE CONTROL 9 MES DE IMPLANTE CAPILAR</t>
  </si>
  <si>
    <t>Dairo  Vergara Puente</t>
  </si>
  <si>
    <t xml:space="preserve">dairovergara2708@gmail.com </t>
  </si>
  <si>
    <t>Dairo</t>
  </si>
  <si>
    <t>Vergara</t>
  </si>
  <si>
    <t>Puente</t>
  </si>
  <si>
    <t xml:space="preserve">paciente inicia terapia de choque 2 - 12 meso +laser </t>
  </si>
  <si>
    <t>1 - 4 camara hiperbarica</t>
  </si>
  <si>
    <t xml:space="preserve">paciente inicia terapia de choque  1 - 12  meso +laser + plasma </t>
  </si>
  <si>
    <t>Juan Miguel Olarte Lizarazo</t>
  </si>
  <si>
    <t>juanmiolarte750521@gmail.com</t>
  </si>
  <si>
    <t>Juan</t>
  </si>
  <si>
    <t>Olarte</t>
  </si>
  <si>
    <t>Lizarazo</t>
  </si>
  <si>
    <t>1 SESION DE 4 CAMARA HIPERBARICA</t>
  </si>
  <si>
    <t>INICIA TERAPIA DE CHOQUE 1-12 MESO+LASER+PLASMA CON TERAPIA DE DUTASTERIDE 1-3 ABONA 1.200.000 DEBE 2.317.500</t>
  </si>
  <si>
    <t>Carlos Felipe Montoya Perez</t>
  </si>
  <si>
    <t>cfmontoya@gmail.com</t>
  </si>
  <si>
    <t>Montoya</t>
  </si>
  <si>
    <t>Perez</t>
  </si>
  <si>
    <t xml:space="preserve">AÃ‘O DE IMPLANTE DE CABELLO - BARBA FOTOS + CONTROL	- PACIENTE NO RESPONDE COMUNICACIÃ’N POR WHATSAPP
</t>
  </si>
  <si>
    <t>Isabella  Chaparro Gaviria</t>
  </si>
  <si>
    <t>luisagc1987@hotmail.com</t>
  </si>
  <si>
    <t>Isabella</t>
  </si>
  <si>
    <t>Chaparro</t>
  </si>
  <si>
    <t>Gaviria</t>
  </si>
  <si>
    <t xml:space="preserve">TERAPIA DE CHOQUE  9- 12 MESO + LASER </t>
  </si>
  <si>
    <t>TERAPIA DE CHOQUE 8- 12 MESO + LASER debe pagar el saldo pendiente</t>
  </si>
  <si>
    <t xml:space="preserve">3 - 4 camara hiperbarica SEÃ‘OR MICHEL INDICO REPROGRAMATR CAMARA HIPERBARICA POR MANTENIMIENTO </t>
  </si>
  <si>
    <t>TERAPIA DE CHOQUE 7- 12 MESO + LASER debe pagar el saldo pendiente</t>
  </si>
  <si>
    <t xml:space="preserve">	TERAPIA DE CHOQUE 8- 12 MESO + LASER + PLASMA</t>
  </si>
  <si>
    <t xml:space="preserve">	3 - 4 camara hiperbarica</t>
  </si>
  <si>
    <t>Jorge Luis Martinez Miranda</t>
  </si>
  <si>
    <t>jrgmartinezm@gmail.com</t>
  </si>
  <si>
    <t>Luis</t>
  </si>
  <si>
    <t>Martinez</t>
  </si>
  <si>
    <t>Miranda</t>
  </si>
  <si>
    <t>revision de como se encuentra el cabello , interesado en terapias</t>
  </si>
  <si>
    <t>Ricardo  Prada Ospina</t>
  </si>
  <si>
    <t>projas215@gmail.com</t>
  </si>
  <si>
    <t>Prada</t>
  </si>
  <si>
    <t>Ospina</t>
  </si>
  <si>
    <t xml:space="preserve">	2 - 4 camara hiperbarica</t>
  </si>
  <si>
    <t xml:space="preserve">terapia de choque 8 - 12 meso + laser+ plasma + no se la realizo  2 - 6 duta </t>
  </si>
  <si>
    <t>inicia terapia de choque 7 - 12 meso + laser+ CONTROL DE 3 MES DE IMPLANTE + fotos</t>
  </si>
  <si>
    <t>2 - 4 camara hiperbarica - PACEINTE NO SE VA A REALIZAR CAMARA HIPERBARICA YA QUE NO TIENE EL TIEMPO</t>
  </si>
  <si>
    <t>inicia terapia de choque 6 - 12 meso + laser+  PACIENTE SOLAMENTE SE VA A REALIZAR MESO Y LASER POR TIEMPO</t>
  </si>
  <si>
    <t>terapia de choque 5 - 12 meso + laser  * - 1 - 6 duta</t>
  </si>
  <si>
    <t>terapia de choque 4 - 12 meso + laser</t>
  </si>
  <si>
    <t>Saeed  Moravvej Torbati</t>
  </si>
  <si>
    <t>T@consumersenergy.ca</t>
  </si>
  <si>
    <t>Saeed</t>
  </si>
  <si>
    <t>Moravvej</t>
  </si>
  <si>
    <t>Torbati</t>
  </si>
  <si>
    <t>Q840 - ALOPECIA CONGENITA</t>
  </si>
  <si>
    <t>3 mese de implante de barba</t>
  </si>
  <si>
    <t xml:space="preserve">Zeina  Nasereddine </t>
  </si>
  <si>
    <t>Zeina@consumersenergy.ca</t>
  </si>
  <si>
    <t>Zeina</t>
  </si>
  <si>
    <t>Nasereddine</t>
  </si>
  <si>
    <t>L669 - ALOPECIA CICATRICIAL, NO ESPECIFICADA</t>
  </si>
  <si>
    <t xml:space="preserve">3 mese de implante </t>
  </si>
  <si>
    <t>Estetica</t>
  </si>
  <si>
    <t>Servicio de estetica</t>
  </si>
  <si>
    <t>Jair Alberto Morales Gomez</t>
  </si>
  <si>
    <t>jaymogo29@hotmail.com</t>
  </si>
  <si>
    <t>Jair</t>
  </si>
  <si>
    <t>Gomez</t>
  </si>
  <si>
    <t>Rosa Sofia</t>
  </si>
  <si>
    <t>cita estÃ©tica sin costo</t>
  </si>
  <si>
    <t>Juan Diego Villegas Guzman</t>
  </si>
  <si>
    <t>juanchoville72@gmail.com</t>
  </si>
  <si>
    <t>Diego</t>
  </si>
  <si>
    <t>Villegas</t>
  </si>
  <si>
    <t>Guzman</t>
  </si>
  <si>
    <t xml:space="preserve">MICROPIGMENTACION 3 ZONAS CONFIRMADO DOCTORA JENNY </t>
  </si>
  <si>
    <t xml:space="preserve">SEGUNDO DIA DE IMPLANTE DE PRACTICA </t>
  </si>
  <si>
    <t xml:space="preserve"> PENDIENTE CONSULTA PRESENCIAL PARA EL CALCULO- pendiente pago 2  millones  - M - IMPLANTE DE PRACTICA 2 DIAS , EL PACIENTE ASUME SUS GASTOS DE MEDICAMENTOS ,  Y ALIMENTACIÃ’N </t>
  </si>
  <si>
    <t>CONSULTA VIRTUAL SIN COSTO REF SEÃ‘OR MICHEL- CITA PREVIA PARA IMPLNATES DE PRACTICA</t>
  </si>
  <si>
    <t xml:space="preserve">Larry Scott Morse </t>
  </si>
  <si>
    <t>leisurescott@gmail.com</t>
  </si>
  <si>
    <t>Larry</t>
  </si>
  <si>
    <t>Scott</t>
  </si>
  <si>
    <t>Morse</t>
  </si>
  <si>
    <t xml:space="preserve"> control del 1  mes   + fotos virtual</t>
  </si>
  <si>
    <t>comunicarse de manera virtual para indicaciones del retiro de costra-ubicado en  otra ciudad.</t>
  </si>
  <si>
    <t xml:space="preserve">drenaje - suero post
</t>
  </si>
  <si>
    <t>Tatiana Patricia Casadiego Navarro</t>
  </si>
  <si>
    <t>tatianapcasadiego@gmail.com</t>
  </si>
  <si>
    <t>Tatiana</t>
  </si>
  <si>
    <t>Casadiego</t>
  </si>
  <si>
    <t>estetica</t>
  </si>
  <si>
    <t xml:space="preserve">Shaun Hilton Stewart </t>
  </si>
  <si>
    <t>shaunstewart5@aol.com</t>
  </si>
  <si>
    <t>Shaun</t>
  </si>
  <si>
    <t>Hilton</t>
  </si>
  <si>
    <t>Stewart</t>
  </si>
  <si>
    <t>1 camara hiperbarica + 1 suero pre</t>
  </si>
  <si>
    <t>Carlina Alicia GonzÃ¡lez Garcia</t>
  </si>
  <si>
    <t>docentejohanngamarra@gmail.com</t>
  </si>
  <si>
    <t>Carlina</t>
  </si>
  <si>
    <t>Alicia</t>
  </si>
  <si>
    <t>GonzÃ¡lez</t>
  </si>
  <si>
    <t>Garcia</t>
  </si>
  <si>
    <t>L650 - PERDIDA CAPILAR TELOGENA</t>
  </si>
  <si>
    <t>Marcos Alfonso Villanueva Mercado</t>
  </si>
  <si>
    <t xml:space="preserve">marcosalfonsovillanueva@hotmail.com </t>
  </si>
  <si>
    <t>Formulario_meta</t>
  </si>
  <si>
    <t>Marcos</t>
  </si>
  <si>
    <t>Alfonso</t>
  </si>
  <si>
    <t>Villanueva</t>
  </si>
  <si>
    <t>Mercado</t>
  </si>
  <si>
    <t xml:space="preserve">terapia choque 9-12 terapia choque meso- laser </t>
  </si>
  <si>
    <t>3 -4 camara hiperbarica</t>
  </si>
  <si>
    <t>terapia choque 8-12 terapia choque meso- laser +plasma</t>
  </si>
  <si>
    <t xml:space="preserve">terapia choque 7-12 terapia choque meso- laser </t>
  </si>
  <si>
    <t xml:space="preserve">6-12 terapia choque meso- laser </t>
  </si>
  <si>
    <t>3 -4  camara hiperbarica</t>
  </si>
  <si>
    <t>Hernan  Perez Barrera</t>
  </si>
  <si>
    <t>Hernanhp33@hotmail.com</t>
  </si>
  <si>
    <t>Hernan</t>
  </si>
  <si>
    <t>Barrera</t>
  </si>
  <si>
    <t>retiro de costra</t>
  </si>
  <si>
    <t>2 - 2 drenaje</t>
  </si>
  <si>
    <t>2 - 3  drenaje   - 1 - 3 camara hiperbarica</t>
  </si>
  <si>
    <t>1- 2  drenaje - 1 - 3  camara hiperbarica</t>
  </si>
  <si>
    <t>10.000-10.500</t>
  </si>
  <si>
    <t xml:space="preserve">SEGUNDO DIA DE IMPLANTE LOS PELOS QUE QUEDEN PENDIENTE DEL PRIMER DIA </t>
  </si>
  <si>
    <t xml:space="preserve">IMPLANTE CAPILAR CERRANDO- 2 DRENAJES EN 20 MILLONES ABONO 5 TIENE PENDIENTE 15.000.000 </t>
  </si>
  <si>
    <t>Gerardo  Coral Rodriguez</t>
  </si>
  <si>
    <t>gcoral2015@gmail.com</t>
  </si>
  <si>
    <t>Gerardo</t>
  </si>
  <si>
    <t>Coral</t>
  </si>
  <si>
    <t>PACIENTE DE IMPLANTE DE PRACTICA, REALIZAR CONSULTA, FORMULA DE MEDICAMENTOS, Y CORTE DE CABELLO , Y CONSENTIMIENTOS DEBE 2.000.000</t>
  </si>
  <si>
    <t>IMPLANTE DE PRACTICA SEGUNDO DIA 3.000</t>
  </si>
  <si>
    <t>IMPLANTE DE PRACTICA 2 DIAS DEBE 2.000.000- PENDIENTE CALCULO</t>
  </si>
  <si>
    <t>Manuel Fernando Navia Cujar</t>
  </si>
  <si>
    <t>nanonaviac@gmail.com</t>
  </si>
  <si>
    <t>Manuel</t>
  </si>
  <si>
    <t>Fernando</t>
  </si>
  <si>
    <t>Navia</t>
  </si>
  <si>
    <t>Cujar</t>
  </si>
  <si>
    <t>retiro de costra - paciente comenta que va a ir a la sede de cali ya que no compro tiquete</t>
  </si>
  <si>
    <t>Jhon Jairo Tovar Perdomo</t>
  </si>
  <si>
    <t>eleinsselastra@hotmail.com</t>
  </si>
  <si>
    <t>whastapp</t>
  </si>
  <si>
    <t>Jhon</t>
  </si>
  <si>
    <t>Jairo</t>
  </si>
  <si>
    <t>Tovar</t>
  </si>
  <si>
    <t>Perdomo</t>
  </si>
  <si>
    <t>L649 - ALOPECIA ANDROGENA, NO ESPECIFICADA
Z410 - TRASPLANTE DE PELO (EN OTRA INSTITUCIÃ’N)</t>
  </si>
  <si>
    <t>80.000 MJ</t>
  </si>
  <si>
    <t>Jeymar Ramon Meza Ortiz</t>
  </si>
  <si>
    <t>jrmo24@hotmail.com</t>
  </si>
  <si>
    <t>Jeymar</t>
  </si>
  <si>
    <t>Ramon</t>
  </si>
  <si>
    <t>Meza</t>
  </si>
  <si>
    <t>Ortiz</t>
  </si>
  <si>
    <t>L639 - ALOPECIA AREATA, NO ESPECIFICADA
L669 - ALOPECIA CICATRICIAL, NO ESPECIFICADA ????</t>
  </si>
  <si>
    <t>$100</t>
  </si>
  <si>
    <t>ELIMPERIOROLO123@GMAIL.COM</t>
  </si>
  <si>
    <t>Alcide</t>
  </si>
  <si>
    <t>FandiÃ±o</t>
  </si>
  <si>
    <t>Rojas</t>
  </si>
  <si>
    <t>1 sesiÃ³n de 4</t>
  </si>
  <si>
    <t>3-9 mesoterapia + laserterapia+ plasma +cÃ¡mara TEREPIA REGULAR</t>
  </si>
  <si>
    <t>2-12 mesoterapia + laserteapia. TEREPIA REGULAR</t>
  </si>
  <si>
    <t>Orlando Jose Estruen LambaÃ±o</t>
  </si>
  <si>
    <t>ostruen@gmail.com</t>
  </si>
  <si>
    <t>Orlando</t>
  </si>
  <si>
    <t>Jose</t>
  </si>
  <si>
    <t>Estruen</t>
  </si>
  <si>
    <t>LambaÃ±o</t>
  </si>
  <si>
    <t>consulta virtual</t>
  </si>
  <si>
    <t>Gustavo Adolfo Montero Gonzalez</t>
  </si>
  <si>
    <t>gustavomontero35@hotmail.com</t>
  </si>
  <si>
    <t>Gustavo</t>
  </si>
  <si>
    <t>Montero</t>
  </si>
  <si>
    <t>consulta control 1 mes de implante - se adelanta la cita ya que el paciente no puede venir a su control el 4 de noviembre</t>
  </si>
  <si>
    <t>2- 2 DRENAJE</t>
  </si>
  <si>
    <t>7.500-8.000</t>
  </si>
  <si>
    <t>segundo dÃ­a de implante los pelos que falten del dia 1</t>
  </si>
  <si>
    <t xml:space="preserve">implante 7.500- 8.000 
2 drenajes 
pendiente pagar 10 millones  </t>
  </si>
  <si>
    <t>DRENAJE</t>
  </si>
  <si>
    <t>LAVADO Y RETIRO DE COSTRAS- INDICA QUE HOY ESTA EN BARRANQUILLA Y DESEA REALIZAR EL RETIRO HOY</t>
  </si>
  <si>
    <t>Arreglo Barba</t>
  </si>
  <si>
    <t>Sebastian  Bermudez Ocampo</t>
  </si>
  <si>
    <t>sebasbz959@gmail.com</t>
  </si>
  <si>
    <t>Sebastian</t>
  </si>
  <si>
    <t>Bermudez</t>
  </si>
  <si>
    <t>Ocampo</t>
  </si>
  <si>
    <t>arreglÃ³ de barba</t>
  </si>
  <si>
    <t>1 SESION DE LASERTERAPIA y plasma mas gel fijador COMO OBSEQUIO DEL VIDEO Y TESTIMONIO QUE VA A GRABAR CON EL EQUIPO DE MARKETING- testimonio de barba</t>
  </si>
  <si>
    <t>Stiv Makey EspaÃ±a IbaÃ±ez</t>
  </si>
  <si>
    <t>stevenespana009@gmail.com</t>
  </si>
  <si>
    <t>Stiv</t>
  </si>
  <si>
    <t>Makey</t>
  </si>
  <si>
    <t>EspaÃ±a</t>
  </si>
  <si>
    <t>IbaÃ±ez</t>
  </si>
  <si>
    <t>SEGUNDO DIA DE IMPLANTE CAPILAR ENTRENAMIENTO DRA VALENTINA--- SUSPENDIDO POR AZUACAR ALTA</t>
  </si>
  <si>
    <t>IMPLANTE DE PRACTICA ENTRENAMIENTO A DREA VALENTINA NO DEBE---SUSPENDIDO POR PROBLEMAS DE AZUCAR ALTA</t>
  </si>
  <si>
    <t>Omar Enrique Rueda Rey</t>
  </si>
  <si>
    <t>oruedarey@hotmail.com</t>
  </si>
  <si>
    <t>Omar</t>
  </si>
  <si>
    <t>Enrique</t>
  </si>
  <si>
    <t>Rueda</t>
  </si>
  <si>
    <t>Rey</t>
  </si>
  <si>
    <t>No confirmado</t>
  </si>
  <si>
    <t>choque  5 -12 meso + laser - * 2 - 3 duta - deber $ 2.173.500- pendiente la sesiÃ³n de plasma solicita reprogramar la sesiÃ³n de cÃ¡mara hiperbÃ¡rica, por tiempo</t>
  </si>
  <si>
    <t xml:space="preserve"> choque 4 -12 meso + laser - plasma * 2 - 3 duta - deber $ 2.173.500- pendiente la sesiÃ³n de plasma solicita reprogramar la sesiÃ³n de cÃ¡mara hiperbÃ¡rica, por tiempo</t>
  </si>
  <si>
    <t xml:space="preserve">2 - 4 cÃ¡mara hiperbÃ¡rica pendiente la cÃ¡mara hiperbÃ¡rica por tiempo no toma la sesiÃ³n </t>
  </si>
  <si>
    <t>2 - 4 camara hiperbarica</t>
  </si>
  <si>
    <t xml:space="preserve"> choque 4 -12 meso + laser - plasma * 2 - 3 duta - deber $ 2.173.500</t>
  </si>
  <si>
    <t>Said Esteban Gonzalez Aragon</t>
  </si>
  <si>
    <t>sega130583@hotmail.com</t>
  </si>
  <si>
    <t>Said</t>
  </si>
  <si>
    <t>Esteban</t>
  </si>
  <si>
    <t>Aragon</t>
  </si>
  <si>
    <t>Jenifer Paola</t>
  </si>
  <si>
    <t>TERAPIAS REGULAR 4 - 9 meso + laser  - QUEDA DEBIENDO $ 1.900.000</t>
  </si>
  <si>
    <t xml:space="preserve">1- 3 CAMARA HIPERBARICA SEÃ‘OR MICHEL INDICO REPROGRAMAR CAMARA HIPERBARICA POR MANTENIMIENTO </t>
  </si>
  <si>
    <t xml:space="preserve"> TERAPIAS REGULAR 3 - 9 meso + laser + plasma - QUEDA DEBIENDO $ 1.900.000</t>
  </si>
  <si>
    <t>Cruz Marjorie Diaz Lezama</t>
  </si>
  <si>
    <t>zeusmar24@gmail.com</t>
  </si>
  <si>
    <t>Cruz</t>
  </si>
  <si>
    <t>Marjorie</t>
  </si>
  <si>
    <t>Diaz</t>
  </si>
  <si>
    <t>Lezama</t>
  </si>
  <si>
    <t>consulta post control</t>
  </si>
  <si>
    <t>1 mes de implante ceja + fotos</t>
  </si>
  <si>
    <t>control  de estetica  la paciente no puede asistir  ya que no tiene con quien dejar a la bebe</t>
  </si>
  <si>
    <t>Viviana  Mendoza Gomez</t>
  </si>
  <si>
    <t>vivianamendozagomez83@gmail.com</t>
  </si>
  <si>
    <t>Viviana</t>
  </si>
  <si>
    <t>Mendoza</t>
  </si>
  <si>
    <t>terapia 6 - 12 meso + laser</t>
  </si>
  <si>
    <t>terapia de choque 4 - 12  meso + laser + PLASMA</t>
  </si>
  <si>
    <t xml:space="preserve">2 - 4 CAMARA HIPERBARICA. SEÃ‘OR MICHEL INDICO REPROGRAMATR CAMARA HIPERBARICA POR MANTENIMIENTO </t>
  </si>
  <si>
    <t xml:space="preserve">terapia de choque 3 - 12  meso + laser </t>
  </si>
  <si>
    <t>terapia 5 - 12  meso + laser</t>
  </si>
  <si>
    <t>2 -  4 camara  hiperbarica</t>
  </si>
  <si>
    <t>Nohora Alejandra Jimenez Abril</t>
  </si>
  <si>
    <t>NOHORITAJI1@GMAIL.COM</t>
  </si>
  <si>
    <t>Nohora</t>
  </si>
  <si>
    <t>Alejandra</t>
  </si>
  <si>
    <t>Jimenez</t>
  </si>
  <si>
    <t>Abril</t>
  </si>
  <si>
    <t xml:space="preserve">inicio duta 1 - 3 </t>
  </si>
  <si>
    <t xml:space="preserve">CONSULTA 80 </t>
  </si>
  <si>
    <t>Alain Roberto Suaza Lopez</t>
  </si>
  <si>
    <t>SUAZALOPEZAR@GMAIL.COM</t>
  </si>
  <si>
    <t>Alain</t>
  </si>
  <si>
    <t>Roberto</t>
  </si>
  <si>
    <t>Suaza</t>
  </si>
  <si>
    <t>Lopez</t>
  </si>
  <si>
    <t>liacido hialuronico cada cc 1Â´300
ojeras y soporte malar 2cc
malares y vectore</t>
  </si>
  <si>
    <t>Jaime Andres Orlando Cano</t>
  </si>
  <si>
    <t>jaimeorlando76@hotmail.com</t>
  </si>
  <si>
    <t>Jaime</t>
  </si>
  <si>
    <t>Cano</t>
  </si>
  <si>
    <t>Q840 - ALOPECIA CONGENITA
L649 - ALOPECIA ANDROGENA, NO ESPECIFICADA</t>
  </si>
  <si>
    <t xml:space="preserve">80.000 MJ CONSULTA PARA IMPLANTE DE BARBA  </t>
  </si>
  <si>
    <t>Johana Isabel Mercado Pacheco</t>
  </si>
  <si>
    <t>Johanamp18@hotmail.com</t>
  </si>
  <si>
    <t>Johana</t>
  </si>
  <si>
    <t>Isabel</t>
  </si>
  <si>
    <t>Pacheco</t>
  </si>
  <si>
    <t>Angie $80</t>
  </si>
  <si>
    <t>Oscar Alberto Orozco Gamez</t>
  </si>
  <si>
    <t>oscarogdocente@gmail.com</t>
  </si>
  <si>
    <t>Oscar</t>
  </si>
  <si>
    <t>Orozco</t>
  </si>
  <si>
    <t>Gamez</t>
  </si>
  <si>
    <t>60 mj</t>
  </si>
  <si>
    <t>Diego Fernando Manrique Cano</t>
  </si>
  <si>
    <t>diego.manrique@matterlawconsulting.com</t>
  </si>
  <si>
    <t>Manrique</t>
  </si>
  <si>
    <t>CONSULTA VIRTUAL SIN COSTO REF SEÃ‘OR MICHEL IMPLANTE DE PRACTICA-</t>
  </si>
  <si>
    <t xml:space="preserve">IMPLANTE DE PRACTICA 2 DIAS ABONO 1 MILLON DEBE 2 EL SEÃ‘OR MICHEL INDICO DEJARLO EN 3 MILLONES CANT  3000 </t>
  </si>
  <si>
    <t xml:space="preserve">SEGUNDO DIA DE IMPLANTE DE PRACTICA  CANT  3000 </t>
  </si>
  <si>
    <t>PENDIENTE CONSULTA PRESENCIAL- CALCULO- IMPLANTES PREVIOS</t>
  </si>
  <si>
    <t>Carolina  Molina Jimenez</t>
  </si>
  <si>
    <t>CAROLINAMOLINAJIMENEZ@GMAIL.COM</t>
  </si>
  <si>
    <t>Carolina</t>
  </si>
  <si>
    <t>Z411 - OTRAS CIRUGIAS PLASTICAS POR RAZONES ESTETICAS (mesoterapia facial)</t>
  </si>
  <si>
    <t>ESTETICA</t>
  </si>
  <si>
    <t>Andres Felipe Otero Vergara</t>
  </si>
  <si>
    <t>ANDRESOTEROVERGARA@GMAIL.COM</t>
  </si>
  <si>
    <t>2 DIA DE IMPLANTE</t>
  </si>
  <si>
    <t>IMPLANTE DE PRACTICA 2 DIAS DEBE 3.500.000 DE IMPLANTE  Y 2  ZONAS MICROPIGMENTACION B Y C 1.500.000 (doctora jenny indico 2 zonas no da tiempo para las 3 zonas )</t>
  </si>
  <si>
    <t>IMPLANTE DE PRACTICA.-NO COBRO CONSULTA MUY INTERESADO  paciente abona $500.000  pendiente por cancelar implante  3.500.000 + 500.000  micropigmentaciÃ³n  zona c</t>
  </si>
  <si>
    <t>Zulma Zulay Zapata Viloria</t>
  </si>
  <si>
    <t>Zulmazapata082@gmail.com</t>
  </si>
  <si>
    <t>Zulma</t>
  </si>
  <si>
    <t>Zulay</t>
  </si>
  <si>
    <t>Zapata</t>
  </si>
  <si>
    <t>Viloria</t>
  </si>
  <si>
    <t>retiro de costra - PACIENTE NO VA A VENIR SOLICITA QUE POR LA LLAMEN PARA EL RETIRO DE SU COSTRA</t>
  </si>
  <si>
    <t xml:space="preserve">consulta  previa al implante  + fotos </t>
  </si>
  <si>
    <t>Cejas</t>
  </si>
  <si>
    <t>Cejas parcial</t>
  </si>
  <si>
    <t>IMPLANTE PARCIAL DE CEJAS CON micropigmentacion - con tatuaje previo- debe 4.000.000 incluye 2 drenajes</t>
  </si>
  <si>
    <t xml:space="preserve">VIRTUAL Info de Cejas.  -  micropigmentacion -  con tatuaje previo </t>
  </si>
  <si>
    <t>Margarita  Salcedo Chavez</t>
  </si>
  <si>
    <t>msalcedoch@hotmail.com</t>
  </si>
  <si>
    <t>Margarita</t>
  </si>
  <si>
    <t>Salcedo</t>
  </si>
  <si>
    <t>Chavez</t>
  </si>
  <si>
    <t>habia reprogramado , consulta primera vez 80.000</t>
  </si>
  <si>
    <t xml:space="preserve">Juan Pablo Soto </t>
  </si>
  <si>
    <t>juanelsoto22@gmail.conm</t>
  </si>
  <si>
    <t>Pablo</t>
  </si>
  <si>
    <t>Soto</t>
  </si>
  <si>
    <t>consulta virtual 60.000 MJ</t>
  </si>
  <si>
    <t>Samuel Alejandro Gomez Gutierrez</t>
  </si>
  <si>
    <t>gmez-10samuel@hotmail.com</t>
  </si>
  <si>
    <t>Samuel</t>
  </si>
  <si>
    <t>Alejandro</t>
  </si>
  <si>
    <t>Gutierrez</t>
  </si>
  <si>
    <t>L649 - ALOPECIA ANDROGENA, NO ESPECIFICADA DIFUSA</t>
  </si>
  <si>
    <t>Felipe Andres Quintana Carrillo</t>
  </si>
  <si>
    <t>felipeq00@gmail.com</t>
  </si>
  <si>
    <t>Quintana</t>
  </si>
  <si>
    <t>Carrillo</t>
  </si>
  <si>
    <t>MJ 80.000</t>
  </si>
  <si>
    <t>Teddy Joffre Abril Vanegas</t>
  </si>
  <si>
    <t>Teddyabril@gmail.com</t>
  </si>
  <si>
    <t>Teddy</t>
  </si>
  <si>
    <t>Joffre</t>
  </si>
  <si>
    <t>Vanegas</t>
  </si>
  <si>
    <t xml:space="preserve">retiro de costra por favor llamarlo que el paciente no va a venir </t>
  </si>
  <si>
    <t>IMPLANTE DE PRACTICA RF DRA VALENTICA -CALI. ABONA 3.000.000 PENDIENTE 1.000.000 TL 593 99 886 4123</t>
  </si>
  <si>
    <t>CONSULTA PREVIA AL IMPLANTE DE PRACTICA CITADO PARA LA DRA VALENTINA POSSO , PACIENTE NO CONFIRMO POSIBLEMENTE VIENE VIAJANDO DEBE 1.000.000</t>
  </si>
  <si>
    <t>SEGUNDO DIA DE IMPLANTE DE PRACTICA</t>
  </si>
  <si>
    <t xml:space="preserve">IMPLANTE DE PRACTICA 2 DIAS CANT  3000 </t>
  </si>
  <si>
    <t>Pedro Alberto Ramirez Epiayu</t>
  </si>
  <si>
    <t>ramipiayu@gmail.com</t>
  </si>
  <si>
    <t>Pedro</t>
  </si>
  <si>
    <t>Ramirez</t>
  </si>
  <si>
    <t>Epiayu</t>
  </si>
  <si>
    <t xml:space="preserve">inicio de terapia regular   1 - 9  meso + laser  *  1 - 3 duta </t>
  </si>
  <si>
    <t>Jairo Fernando Cantillo Sierra</t>
  </si>
  <si>
    <t>jairofernando.cantillo@gmail.com</t>
  </si>
  <si>
    <t>Cantillo</t>
  </si>
  <si>
    <t>Sierra</t>
  </si>
  <si>
    <t>Lilibeth Tatiana Osorio Rodriguez</t>
  </si>
  <si>
    <t>lilibethosorio@hotmail.es</t>
  </si>
  <si>
    <t>Lilibeth</t>
  </si>
  <si>
    <t>Osorio</t>
  </si>
  <si>
    <t>mj 80.000</t>
  </si>
  <si>
    <t>Ramiro  Quintero Lopez</t>
  </si>
  <si>
    <t>ramiroquintero0@gmail.com</t>
  </si>
  <si>
    <t>Ramiro</t>
  </si>
  <si>
    <t>Quintero</t>
  </si>
  <si>
    <t>Ref seÃ±or michel</t>
  </si>
  <si>
    <t>Andres Alfonso Carvajal Sandoval</t>
  </si>
  <si>
    <t>CARVAJAL-A@HOTMAIL.COM</t>
  </si>
  <si>
    <t>Carvajal</t>
  </si>
  <si>
    <t>Sandoval</t>
  </si>
  <si>
    <t>inicia terapia de choque meso,laser,plasma y cÃ¡mara hiperbÃ¡rica 1 sesion de 4 abona 300.000 de su terapia 31 de octubre realiza abono de terapia 1.404.000 para tener pago el 50% de la terapia</t>
  </si>
  <si>
    <t xml:space="preserve">1 de 4  sesiÃ³n de cÃ¡mara </t>
  </si>
  <si>
    <t>L649 - ALOPECIA ANDROGENA, NO ESPECIFICADA
L218 - OTRAS DERMATITIS SEBORREICAS</t>
  </si>
  <si>
    <t>Anggie Paola Araujo Ramirez</t>
  </si>
  <si>
    <t>araujoanggi3@gmail.com</t>
  </si>
  <si>
    <t>Sitio Web</t>
  </si>
  <si>
    <t>Anggie</t>
  </si>
  <si>
    <t>Paola</t>
  </si>
  <si>
    <t>Araujo</t>
  </si>
  <si>
    <t>80.000 mj</t>
  </si>
  <si>
    <t>Karina Ivoneth Montes Garcia</t>
  </si>
  <si>
    <t>abril-1619@hotmail.com</t>
  </si>
  <si>
    <t>Karina</t>
  </si>
  <si>
    <t>Ivoneth</t>
  </si>
  <si>
    <t>Montes</t>
  </si>
  <si>
    <t>Prudencio  Rangel Pereira</t>
  </si>
  <si>
    <t>Rangelpereirap22@gmail.com</t>
  </si>
  <si>
    <t>Prudencio</t>
  </si>
  <si>
    <t>Rangel</t>
  </si>
  <si>
    <t>Pereira</t>
  </si>
  <si>
    <t>Javier  Garcia Hernandez</t>
  </si>
  <si>
    <t>DANYGAPA-12@HOTMAIL.COM</t>
  </si>
  <si>
    <t>Javier</t>
  </si>
  <si>
    <t>Hernandez</t>
  </si>
  <si>
    <t xml:space="preserve">80.000 MJ </t>
  </si>
  <si>
    <t>Cristian Edilberto Casallas Useche</t>
  </si>
  <si>
    <t>ingenieria.casallas@gmail.com</t>
  </si>
  <si>
    <t>Cristian</t>
  </si>
  <si>
    <t>Edilberto</t>
  </si>
  <si>
    <t>Casallas</t>
  </si>
  <si>
    <t>Useche</t>
  </si>
  <si>
    <t>L649 - ALOPECIA ANDROGENA, NO ESPECIFICADA
Q840 - ALOPECIA CONGENITA</t>
  </si>
  <si>
    <t>CONSULTA VIRTUAL TIENE PREGUNTAS DEL PROCEDIMIENTO ( IMPLANTE DE BARBA REALIZADO EL SABADO 25 DE OCTUBRE)</t>
  </si>
  <si>
    <t>5.000-5.500</t>
  </si>
  <si>
    <t>IMPLANTE DE BARBA - PENDIENTE CONSULTA PARA CALCULO, DEBE 12.000.000</t>
  </si>
  <si>
    <t>CONSULTA VIRTUAL 60.000 MJ INTERESADO EN IMPLANTE DE BARBA</t>
  </si>
  <si>
    <t>Emirgen  Suarez Ramirez</t>
  </si>
  <si>
    <t>diegolinero72@gmail.com</t>
  </si>
  <si>
    <t>Emirgen</t>
  </si>
  <si>
    <t>Suarez</t>
  </si>
  <si>
    <t>TIENE ABONO DE 35.000 DE CONSULTA DEBE 15.000</t>
  </si>
  <si>
    <t>trabaja en restaurante se deja consulta en 50  abona 15  queda restanto 35</t>
  </si>
  <si>
    <t>Angel Santiago Torres Pachon</t>
  </si>
  <si>
    <t>torrespachon0614@gmail.com</t>
  </si>
  <si>
    <t>Angel</t>
  </si>
  <si>
    <t>Santiago</t>
  </si>
  <si>
    <t>Torres</t>
  </si>
  <si>
    <t>Pachon</t>
  </si>
  <si>
    <t>SEGUNDO DIA DE IMPLANTE DE BARBA ENTRENAMIENTO A DRA VALENTINA</t>
  </si>
  <si>
    <t>IMPLANTE DE BARBA 2 DIAS ENTRENAMIENTO A DRA VALENTINA DEBE 2.000.000 MILLONES</t>
  </si>
  <si>
    <t xml:space="preserve">SE DAN RECOMENDACIONES Y SIGNOS DE ALARMA </t>
  </si>
  <si>
    <t>IMPLANTE DE PRACTIVA BARBA REFERIDO DRA VALENTINA CALI AUTORIZAN COBRO DE 3.000.000 ABONA 1.000.000</t>
  </si>
  <si>
    <t>Eloina Del Carmen Davila Blanco</t>
  </si>
  <si>
    <t>edavila1008@hotmail.com</t>
  </si>
  <si>
    <t>Eloina</t>
  </si>
  <si>
    <t>Del Carmen</t>
  </si>
  <si>
    <t>Davila</t>
  </si>
  <si>
    <t>Blanco</t>
  </si>
  <si>
    <t xml:space="preserve">paciente viene para consulta de cejas de practica </t>
  </si>
  <si>
    <t>Alberto Mario Lozano Gonzalez</t>
  </si>
  <si>
    <t>ALBERTO.MARIO.LOZANO@GMAIL.COM</t>
  </si>
  <si>
    <t>Mario</t>
  </si>
  <si>
    <t>Lozano</t>
  </si>
  <si>
    <t>alberto lozano cardiologo ref de la dra JENNY- CONFIRMAR LA CITA EL DIA ANTES</t>
  </si>
  <si>
    <t>Cindy Vanessa Mercado Villarreal</t>
  </si>
  <si>
    <t>VVILLARREAL7@GMAIL.COM</t>
  </si>
  <si>
    <t>Cindy</t>
  </si>
  <si>
    <t>Vanessa</t>
  </si>
  <si>
    <t>Villarreal</t>
  </si>
  <si>
    <t>Cejas Total</t>
  </si>
  <si>
    <t>Neyvell Astrid Aldana Enciso</t>
  </si>
  <si>
    <t>MONITA_ABOGADA@HOTMAIL.COM</t>
  </si>
  <si>
    <t>Neyvell</t>
  </si>
  <si>
    <t>Astrid</t>
  </si>
  <si>
    <t>Aldana</t>
  </si>
  <si>
    <t>Enciso</t>
  </si>
  <si>
    <t>IMPLANTE DE CEJAS DE PRACTICA- NO PAGA, EL PACIETE DEBE ASUMIR GASTOS DE MEDICAMENTOS, Y SU ALIMENTACIÃ’N RECOMENDADA DE SEDE CALI</t>
  </si>
  <si>
    <t>Z000 - EXAMEN MEDICO GENERAL</t>
  </si>
  <si>
    <t xml:space="preserve">IMPLANTE DE CEJA PRACTICA REQUIERE EXAMEN ORDEN- REFERIDA DE CALI </t>
  </si>
  <si>
    <t>Eliana Margarita Devoz Jimenez</t>
  </si>
  <si>
    <t>ELIANA.DEVOZ.JIMENEZ@GMAIL.COM</t>
  </si>
  <si>
    <t>Eliana</t>
  </si>
  <si>
    <t>Devoz</t>
  </si>
  <si>
    <t>2 de  3 peeling facial debe pagar 200.000</t>
  </si>
  <si>
    <t>Camilo Alejandro Velasquez HernÃ¡ndez</t>
  </si>
  <si>
    <t>capcvelasquez@gmail.com</t>
  </si>
  <si>
    <t>Camilo</t>
  </si>
  <si>
    <t>Velasquez</t>
  </si>
  <si>
    <t>HernÃ¡ndez</t>
  </si>
  <si>
    <t xml:space="preserve">consulta previa para implante de practica 1 dÃ­a </t>
  </si>
  <si>
    <t>9 MES DE CONTROL DE IMPLANTE</t>
  </si>
  <si>
    <t>Gustavo Adriano Orrego Palacio</t>
  </si>
  <si>
    <t>GERENCIA@ALUMIND.CO</t>
  </si>
  <si>
    <t>Adriano</t>
  </si>
  <si>
    <t>Orrego</t>
  </si>
  <si>
    <t>Palacio</t>
  </si>
  <si>
    <t xml:space="preserve">	8 - 12 TERAPIA DE CHOQUE MESO +LASER + PLASMA</t>
  </si>
  <si>
    <t xml:space="preserve">	3 - 4 CAMARA HIPERBARICA</t>
  </si>
  <si>
    <t xml:space="preserve"> 3 - 4 CAMARA  HIPERBARICA</t>
  </si>
  <si>
    <t>7 - 12 TERAPIA DE CHOQUE MESO +LASER +pendiente saldo $1.482.000</t>
  </si>
  <si>
    <t>Roberto Antonio Sanchez Olivia</t>
  </si>
  <si>
    <t>rsanchezoliva@gmail.com</t>
  </si>
  <si>
    <t>Antonio</t>
  </si>
  <si>
    <t>Sanchez</t>
  </si>
  <si>
    <t>Olivia</t>
  </si>
  <si>
    <t>Diego Edinson Bermudez Palacio</t>
  </si>
  <si>
    <t xml:space="preserve">diego.bermudez1577@correo.policia.gov.co </t>
  </si>
  <si>
    <t>Edinson</t>
  </si>
  <si>
    <t>1- 3 camara hiperbarica</t>
  </si>
  <si>
    <t>CONTROL DE 3 MES DE IMPLANTE + FOTOS - INICIA TERAPIA ESTANDAR 1 - 3</t>
  </si>
  <si>
    <t>1-3 CAMARA HIPERBARICA DEBE PAGAR TERAPIA ESTANDAR .</t>
  </si>
  <si>
    <t xml:space="preserve">CONTROL DE 3 MES DE IMPLANTE + FOTOS - INICIA TERAPIA ESTANDAR meso + laser + plasma 1 - 3 </t>
  </si>
  <si>
    <t>Rodolfo  Gonzalez Garcia</t>
  </si>
  <si>
    <t>rodolfogonzalezgarcia@gmail.com</t>
  </si>
  <si>
    <t>Rodolfo</t>
  </si>
  <si>
    <t>10 -12 TERAPIA DE CHOQUE MESO+LASER</t>
  </si>
  <si>
    <t>Alberto Luis De La Hoz Gomez</t>
  </si>
  <si>
    <t>albertodelahoz015@hotmail.com</t>
  </si>
  <si>
    <t>ref Sr Michel</t>
  </si>
  <si>
    <t>Karolay Paola Polo Reyes</t>
  </si>
  <si>
    <t>kpoloreyes29@gmail.com</t>
  </si>
  <si>
    <t>Karolay</t>
  </si>
  <si>
    <t>Polo</t>
  </si>
  <si>
    <t>Reyes</t>
  </si>
  <si>
    <t>Orlando Paul Ditta Lamar</t>
  </si>
  <si>
    <t>oditta@uniguajira.edu.co</t>
  </si>
  <si>
    <t>Paul</t>
  </si>
  <si>
    <t>Ditta</t>
  </si>
  <si>
    <t>Lamar</t>
  </si>
  <si>
    <t xml:space="preserve">Ingrid  Collante </t>
  </si>
  <si>
    <t>INGRIDCOLLANTE19@GMAIL.COM</t>
  </si>
  <si>
    <t>Ingrid</t>
  </si>
  <si>
    <t>Collante</t>
  </si>
  <si>
    <t>Sandra Ximena Trespalacios Salgado</t>
  </si>
  <si>
    <t>sandraxtrespa@hotmail.com</t>
  </si>
  <si>
    <t>Sandra</t>
  </si>
  <si>
    <t>Ximena</t>
  </si>
  <si>
    <t>Trespalacios</t>
  </si>
  <si>
    <t>Salgado</t>
  </si>
  <si>
    <t>Pedro Elias Rodriguez Bejarano</t>
  </si>
  <si>
    <t>Cercas2008@holmail.com</t>
  </si>
  <si>
    <t>Elias</t>
  </si>
  <si>
    <t>Bejarano</t>
  </si>
  <si>
    <t>Ref seÃ±or michel y dr balaguera -cotizaciÃ²n de 6.500 a 7.000 pelos cerrado en 22.000.000 incluye hotel no confirmo que hotel</t>
  </si>
  <si>
    <t xml:space="preserve">Samirna  Solano </t>
  </si>
  <si>
    <t>Luysa2006@hotmail.es</t>
  </si>
  <si>
    <t>Samirna</t>
  </si>
  <si>
    <t>Solano</t>
  </si>
  <si>
    <t>CONSULTA PARA IMPLANTE DE CEJAS 80.000 MJ / se realiza llamada de por que no asistio , salio de viaje.</t>
  </si>
  <si>
    <t>Marlon Marcos Molina Manosalva</t>
  </si>
  <si>
    <t>molinamarlon765@gmail.com</t>
  </si>
  <si>
    <t>Marlon</t>
  </si>
  <si>
    <t>Manosalva</t>
  </si>
  <si>
    <t xml:space="preserve">Jacob Sebastian Sandberg </t>
  </si>
  <si>
    <t>jacobsandberg@live.se</t>
  </si>
  <si>
    <t>Jacob</t>
  </si>
  <si>
    <t>Sandberg</t>
  </si>
  <si>
    <t>DESEA ACLARAR DUDAS CON LA DRA DE IMPLANTE . CONSULTA VIRTUAL</t>
  </si>
  <si>
    <t xml:space="preserve">SOLICITA CONSULTA VIRTUAL-SE REALIZA TELEORIENTACIÃ’N ACERCA DE MEDICAMENTOS TENIA DUDAS EFECTOS SECUNDARIOS YA QUE SU IMPLANTE ESTA PARA EL 18 Y 19 DE NOVIEMBRE </t>
  </si>
  <si>
    <t>Andres Felipe Martinez Hinojosa</t>
  </si>
  <si>
    <t>andresmartinezhinojosa4@gmail.com</t>
  </si>
  <si>
    <t>Hinojosa</t>
  </si>
  <si>
    <t>Diana Cristina Fakih Mantilla</t>
  </si>
  <si>
    <t>nanifakih147@gmail.com</t>
  </si>
  <si>
    <t>Diana</t>
  </si>
  <si>
    <t>Fakih</t>
  </si>
  <si>
    <t>Mantilla</t>
  </si>
  <si>
    <t>SE IMPLANTO EN DHI BOGOTA- REF SEÃ‘OR MICHEL - Me quiero hacer por favor injerto de pelo en la frente, porque la lÃ­nea de pelo la tengo retraÃ­da, y un retoque de cejas.</t>
  </si>
  <si>
    <t>Jhon Jairo Pertuz Jimenez</t>
  </si>
  <si>
    <t>norecuerdaelcorreo@gmail.com</t>
  </si>
  <si>
    <t>Pertuz</t>
  </si>
  <si>
    <t xml:space="preserve">Esteban  Galtes </t>
  </si>
  <si>
    <t>Perez_annet@yahoo.com</t>
  </si>
  <si>
    <t>Galtes</t>
  </si>
  <si>
    <t>80.000 MJ INDICA QUE EL NUMERO DE PASAPORTE LO DA EN LA CONSULTA NO LO QUIZO ENVIAR POR EL WHATSAPP</t>
  </si>
  <si>
    <t>Santiago De Jesus Sanchez Perez</t>
  </si>
  <si>
    <t>santiagosanchezlbk@gmail.com</t>
  </si>
  <si>
    <t>De Jesus</t>
  </si>
  <si>
    <t>Siervo Tulio Roa Roa</t>
  </si>
  <si>
    <t>TULIOROA79@HOTMAIL.COM</t>
  </si>
  <si>
    <t>Siervo</t>
  </si>
  <si>
    <t>Tulio</t>
  </si>
  <si>
    <t>Roa</t>
  </si>
  <si>
    <t>COMPRA DE MEDICAMENTOS SEDE DE BOGOTA</t>
  </si>
  <si>
    <t>Aura  Rivera Lora</t>
  </si>
  <si>
    <t>ARIVERA0681@HOTMAIL.COM</t>
  </si>
  <si>
    <t>Aura</t>
  </si>
  <si>
    <t>Lora</t>
  </si>
  <si>
    <t>CONSULTA VIRTUAL IMPLANTE DE CEJAS PRACTICA</t>
  </si>
  <si>
    <t>3.500-4.000</t>
  </si>
  <si>
    <t>Oscar Eduardo Cordoba Arce</t>
  </si>
  <si>
    <t>orcamoni11@hotmail.com</t>
  </si>
  <si>
    <t>Cordoba</t>
  </si>
  <si>
    <t>Arce</t>
  </si>
  <si>
    <t>implante aprobado y autorizado por el Sr michel pendiente de de que envie examenes previos y realizar consulta para el calculo. - PEDNIENTE CONFIRMAR CANTIDAD DE PELOS</t>
  </si>
  <si>
    <t>Alba Luz Janica Macias</t>
  </si>
  <si>
    <t>albadonnelly@yahoo.com</t>
  </si>
  <si>
    <t>Alba</t>
  </si>
  <si>
    <t>Luz</t>
  </si>
  <si>
    <t>Janica</t>
  </si>
  <si>
    <t>Macias</t>
  </si>
  <si>
    <t>REF DRA JENNY 60.000 CONSULTA servicio estetica</t>
  </si>
  <si>
    <t>Diego Armando Ariza Santiago</t>
  </si>
  <si>
    <t>daas1082958140@gmail.com</t>
  </si>
  <si>
    <t>Armando</t>
  </si>
  <si>
    <t>Ariza</t>
  </si>
  <si>
    <t xml:space="preserve">Hernan Ricardo Santos </t>
  </si>
  <si>
    <t>GIKA0405@HOTMAIL.COM</t>
  </si>
  <si>
    <t>Santos</t>
  </si>
  <si>
    <t>Vivian Del Rosario David Diaz</t>
  </si>
  <si>
    <t>Davidvd03@gmail.com</t>
  </si>
  <si>
    <t>M</t>
  </si>
  <si>
    <t>Vivian</t>
  </si>
  <si>
    <t>Del Rosario</t>
  </si>
  <si>
    <t xml:space="preserve">revision </t>
  </si>
  <si>
    <t>Cristina Isabel Vives Jaimes</t>
  </si>
  <si>
    <t>Cristinavives04@gmail.com</t>
  </si>
  <si>
    <t>Vives</t>
  </si>
  <si>
    <t>Jaimes</t>
  </si>
  <si>
    <t>limpieza facial</t>
  </si>
  <si>
    <t>Ana Rosinda Herrera Pomare</t>
  </si>
  <si>
    <t>Juanwiwalters@hotmail.com</t>
  </si>
  <si>
    <t>Ana</t>
  </si>
  <si>
    <t>Rosinda</t>
  </si>
  <si>
    <t>Pomare</t>
  </si>
  <si>
    <t>80.000 mj - paciente quiere ser atendida en la sede de cartagena</t>
  </si>
  <si>
    <t>Alberto  Navarro Martinez</t>
  </si>
  <si>
    <t>anavarromartinez30@gmail.com</t>
  </si>
  <si>
    <t>Ruben Dario Ruiz Orozco</t>
  </si>
  <si>
    <t>rubendario-07@live.com</t>
  </si>
  <si>
    <t>Ruben</t>
  </si>
  <si>
    <t>Dario</t>
  </si>
  <si>
    <t>Ruiz</t>
  </si>
  <si>
    <t>Mauro Nicolas Silva Molina</t>
  </si>
  <si>
    <t>mauronico_69@hotmail.com</t>
  </si>
  <si>
    <t>Mauro</t>
  </si>
  <si>
    <t>Nicolas</t>
  </si>
  <si>
    <t>Silva</t>
  </si>
  <si>
    <t xml:space="preserve">REFERIDO SEÃ‘OR MICHEL , ME INDICA POR LA LLAMADA  QUE EL SEÃ‘OR MICHEL LE INDICO QUE REQUIERE DE 11500 A 12000 PERO QUE EL SE VA A COLOCAR POR EL MOMENTO 7.000 MAS 2 ZONAS DE MICROPIGMENTACIÃ’N </t>
  </si>
  <si>
    <t>Daniela Paola Marin Romero</t>
  </si>
  <si>
    <t>danielamarinromero@hotmail.com</t>
  </si>
  <si>
    <t>Daniela</t>
  </si>
  <si>
    <t>Marin</t>
  </si>
  <si>
    <t>Romero</t>
  </si>
  <si>
    <t>$ 80  mariela</t>
  </si>
  <si>
    <t xml:space="preserve">Edwin  Beltran </t>
  </si>
  <si>
    <t>Edwin_711@hotmail.com</t>
  </si>
  <si>
    <t>Beltran</t>
  </si>
  <si>
    <t>Luisa Fernanda Amaya Maestre</t>
  </si>
  <si>
    <t>luisaamayama@hotmail.com</t>
  </si>
  <si>
    <t>Luisa</t>
  </si>
  <si>
    <t>Fernanda</t>
  </si>
  <si>
    <t>Amaya</t>
  </si>
  <si>
    <t>Maestre</t>
  </si>
  <si>
    <t>Elkin Dari­o Arroyave Suarez</t>
  </si>
  <si>
    <t>Juan Sebastian Pardo Sanchez</t>
  </si>
  <si>
    <t>Patricia De La Milagrosa Gil Muñoz</t>
  </si>
  <si>
    <t>Micropigmentacion</t>
  </si>
  <si>
    <t>Micropigmentacion  3 sesion</t>
  </si>
  <si>
    <t>Andres Felipe De La Hoz Cera</t>
  </si>
  <si>
    <t>Ver duplicados</t>
  </si>
  <si>
    <t>Alcide  Fandiño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</si>
</sst>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82F4-B9A0-44FE-83B0-8AA8ED7078A5}">
  <dimension ref="A1:AD254"/>
  <sheetViews>
    <sheetView tabSelected="1" workbookViewId="0">
      <selection activeCell="D4" sqref="D4"/>
    </sheetView>
  </sheetViews>
  <sheetFormatPr baseColWidth="10" defaultRowHeight="15" x14ac:dyDescent="0.25"/>
  <cols>
    <col min="1" max="1" width="6.85546875" bestFit="1" customWidth="1"/>
    <col min="2" max="2" width="10.42578125" bestFit="1" customWidth="1"/>
    <col min="3" max="3" width="19.5703125" bestFit="1" customWidth="1"/>
    <col min="4" max="4" width="32" bestFit="1" customWidth="1"/>
    <col min="5" max="5" width="11.7109375" bestFit="1" customWidth="1"/>
    <col min="6" max="6" width="10.42578125" bestFit="1" customWidth="1"/>
    <col min="7" max="7" width="35.7109375" bestFit="1" customWidth="1"/>
    <col min="8" max="8" width="12" bestFit="1" customWidth="1"/>
    <col min="9" max="9" width="37" bestFit="1" customWidth="1"/>
    <col min="10" max="10" width="37" customWidth="1"/>
    <col min="11" max="11" width="11" bestFit="1" customWidth="1"/>
    <col min="12" max="12" width="40.7109375" bestFit="1" customWidth="1"/>
    <col min="13" max="13" width="10.42578125" bestFit="1" customWidth="1"/>
    <col min="14" max="14" width="5.42578125" bestFit="1" customWidth="1"/>
    <col min="15" max="15" width="19.42578125" bestFit="1" customWidth="1"/>
    <col min="16" max="16" width="16.28515625" bestFit="1" customWidth="1"/>
    <col min="17" max="17" width="14.5703125" bestFit="1" customWidth="1"/>
    <col min="18" max="18" width="16.42578125" bestFit="1" customWidth="1"/>
    <col min="19" max="19" width="16.140625" bestFit="1" customWidth="1"/>
    <col min="20" max="20" width="16.7109375" bestFit="1" customWidth="1"/>
    <col min="21" max="21" width="17.140625" bestFit="1" customWidth="1"/>
    <col min="22" max="22" width="12.28515625" bestFit="1" customWidth="1"/>
    <col min="23" max="23" width="14.28515625" bestFit="1" customWidth="1"/>
    <col min="24" max="24" width="72.28515625" bestFit="1" customWidth="1"/>
    <col min="25" max="27" width="21.5703125" bestFit="1" customWidth="1"/>
    <col min="28" max="29" width="9.7109375" bestFit="1" customWidth="1"/>
    <col min="30" max="30" width="237.28515625" bestFit="1" customWidth="1"/>
  </cols>
  <sheetData>
    <row r="1" spans="1:30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ht="15" customHeight="1" x14ac:dyDescent="0.25">
      <c r="A2">
        <v>40615</v>
      </c>
      <c r="B2" s="1">
        <v>45927</v>
      </c>
      <c r="C2" t="s">
        <v>276</v>
      </c>
      <c r="D2" t="s">
        <v>157</v>
      </c>
      <c r="E2" s="1">
        <v>45931</v>
      </c>
      <c r="F2" s="1">
        <v>45931</v>
      </c>
      <c r="G2" t="s">
        <v>277</v>
      </c>
      <c r="H2">
        <v>79687042</v>
      </c>
      <c r="I2" t="s">
        <v>463</v>
      </c>
      <c r="J2" t="str">
        <f>IF(
   COUNTIFS(
      $E$2:E2,TRIM(UPPER(E2)),
      $G$2:G2,TRIM(UPPER(G2)),
      $C$2:C2,TEXT(C2,"aaaa-mm-dd"),
      $I$2:I2,TEXT(I2,"0")
   )&gt;1,
   "Duplicado",
   "Único"
)</f>
        <v>Único</v>
      </c>
      <c r="K2">
        <v>3006875161</v>
      </c>
      <c r="L2" t="s">
        <v>464</v>
      </c>
      <c r="M2" s="1">
        <v>27125</v>
      </c>
      <c r="N2">
        <v>51</v>
      </c>
      <c r="O2">
        <v>1</v>
      </c>
      <c r="P2" t="s">
        <v>61</v>
      </c>
      <c r="Q2" t="s">
        <v>465</v>
      </c>
      <c r="R2" t="s">
        <v>466</v>
      </c>
      <c r="S2" t="s">
        <v>467</v>
      </c>
      <c r="T2" t="s">
        <v>468</v>
      </c>
      <c r="U2" s="2">
        <v>45927.009369791667</v>
      </c>
      <c r="V2" t="s">
        <v>37</v>
      </c>
      <c r="W2" t="s">
        <v>50</v>
      </c>
      <c r="AD2" s="3" t="s">
        <v>469</v>
      </c>
    </row>
    <row r="3" spans="1:30" ht="15" customHeight="1" x14ac:dyDescent="0.25">
      <c r="A3">
        <v>42890</v>
      </c>
      <c r="B3" s="1">
        <v>45937</v>
      </c>
      <c r="C3" t="s">
        <v>29</v>
      </c>
      <c r="D3" t="s">
        <v>54</v>
      </c>
      <c r="E3" s="1">
        <v>45937</v>
      </c>
      <c r="F3" s="1">
        <v>45937</v>
      </c>
      <c r="G3" t="s">
        <v>42</v>
      </c>
      <c r="H3">
        <v>32731223</v>
      </c>
      <c r="I3" t="s">
        <v>768</v>
      </c>
      <c r="J3" t="str">
        <f>IF(
   COUNTIFS(
      $E$2:E3,TRIM(UPPER(E3)),
      $G$2:G3,TRIM(UPPER(G3)),
      $C$2:C3,TEXT(C3,"aaaa-mm-dd"),
      $I$2:I3,TEXT(I3,"0")
   )&gt;1,
   "Duplicado",
   "Único"
)</f>
        <v>Único</v>
      </c>
      <c r="K3">
        <v>8155851125</v>
      </c>
      <c r="L3" t="s">
        <v>769</v>
      </c>
      <c r="M3" s="1">
        <v>25364</v>
      </c>
      <c r="N3">
        <v>56</v>
      </c>
      <c r="O3">
        <v>1</v>
      </c>
      <c r="P3" t="s">
        <v>61</v>
      </c>
      <c r="Q3" t="s">
        <v>770</v>
      </c>
      <c r="R3" t="s">
        <v>771</v>
      </c>
      <c r="S3" t="s">
        <v>772</v>
      </c>
      <c r="T3" t="s">
        <v>773</v>
      </c>
      <c r="U3" s="2">
        <v>45937.006922916669</v>
      </c>
      <c r="V3" t="s">
        <v>37</v>
      </c>
      <c r="W3" t="s">
        <v>38</v>
      </c>
      <c r="AD3" t="s">
        <v>774</v>
      </c>
    </row>
    <row r="4" spans="1:30" ht="15" customHeight="1" x14ac:dyDescent="0.25">
      <c r="A4">
        <v>43230</v>
      </c>
      <c r="B4" s="1">
        <v>45938</v>
      </c>
      <c r="C4" t="s">
        <v>57</v>
      </c>
      <c r="D4" t="s">
        <v>70</v>
      </c>
      <c r="E4" s="1">
        <v>45939</v>
      </c>
      <c r="F4" s="1">
        <v>45939</v>
      </c>
      <c r="G4" t="s">
        <v>57</v>
      </c>
      <c r="H4">
        <v>1104411665</v>
      </c>
      <c r="I4" t="s">
        <v>799</v>
      </c>
      <c r="J4" t="str">
        <f>IF(
   COUNTIFS(
      $E$2:E4,TRIM(UPPER(E4)),
      $G$2:G4,TRIM(UPPER(G4)),
      $C$2:C4,TEXT(C4,"aaaa-mm-dd"),
      $I$2:I4,TEXT(I4,"0")
   )&gt;1,
   "Duplicado",
   "Único"
)</f>
        <v>Único</v>
      </c>
      <c r="K4">
        <v>3152150960</v>
      </c>
      <c r="L4" t="s">
        <v>800</v>
      </c>
      <c r="P4" t="s">
        <v>183</v>
      </c>
      <c r="Q4" t="s">
        <v>76</v>
      </c>
      <c r="S4" t="s">
        <v>212</v>
      </c>
      <c r="T4" t="s">
        <v>249</v>
      </c>
      <c r="U4" s="2">
        <v>45938.010614467596</v>
      </c>
      <c r="V4" t="s">
        <v>37</v>
      </c>
      <c r="W4" t="s">
        <v>50</v>
      </c>
      <c r="AD4" t="s">
        <v>58</v>
      </c>
    </row>
    <row r="5" spans="1:30" ht="15" customHeight="1" x14ac:dyDescent="0.25">
      <c r="A5">
        <v>42774</v>
      </c>
      <c r="B5" s="1">
        <v>45936</v>
      </c>
      <c r="C5" t="s">
        <v>57</v>
      </c>
      <c r="D5" t="s">
        <v>54</v>
      </c>
      <c r="E5" s="1">
        <v>45938</v>
      </c>
      <c r="F5" s="1">
        <v>45938</v>
      </c>
      <c r="G5" t="s">
        <v>57</v>
      </c>
      <c r="H5">
        <v>1104411665</v>
      </c>
      <c r="I5" t="s">
        <v>799</v>
      </c>
      <c r="J5" t="str">
        <f>IF(
   COUNTIFS(
      $E$2:E5,TRIM(UPPER(E5)),
      $G$2:G5,TRIM(UPPER(G5)),
      $C$2:C5,TEXT(C5,"aaaa-mm-dd"),
      $I$2:I5,TEXT(I5,"0")
   )&gt;1,
   "Duplicado",
   "Único"
)</f>
        <v>Único</v>
      </c>
      <c r="K5">
        <v>3152150960</v>
      </c>
      <c r="L5" t="s">
        <v>800</v>
      </c>
      <c r="P5" t="s">
        <v>183</v>
      </c>
      <c r="Q5" t="s">
        <v>76</v>
      </c>
      <c r="S5" t="s">
        <v>212</v>
      </c>
      <c r="T5" t="s">
        <v>249</v>
      </c>
      <c r="U5" s="2">
        <v>45936.01107685185</v>
      </c>
      <c r="V5" t="s">
        <v>37</v>
      </c>
      <c r="W5" t="s">
        <v>94</v>
      </c>
      <c r="AD5" t="s">
        <v>58</v>
      </c>
    </row>
    <row r="6" spans="1:30" ht="15" customHeight="1" x14ac:dyDescent="0.25">
      <c r="A6">
        <v>41312</v>
      </c>
      <c r="B6" s="1">
        <v>45931</v>
      </c>
      <c r="C6" t="s">
        <v>57</v>
      </c>
      <c r="D6" t="s">
        <v>54</v>
      </c>
      <c r="E6" s="1">
        <v>45932</v>
      </c>
      <c r="F6" s="1">
        <v>45932</v>
      </c>
      <c r="G6" t="s">
        <v>57</v>
      </c>
      <c r="H6">
        <v>72009939</v>
      </c>
      <c r="I6" t="s">
        <v>689</v>
      </c>
      <c r="J6" t="str">
        <f>IF(
   COUNTIFS(
      $E$2:E6,TRIM(UPPER(E6)),
      $G$2:G6,TRIM(UPPER(G6)),
      $C$2:C6,TEXT(C6,"aaaa-mm-dd"),
      $I$2:I6,TEXT(I6,"0")
   )&gt;1,
   "Duplicado",
   "Único"
)</f>
        <v>Único</v>
      </c>
      <c r="K6">
        <v>3007078396</v>
      </c>
      <c r="L6" t="s">
        <v>690</v>
      </c>
      <c r="M6" s="1">
        <v>29147</v>
      </c>
      <c r="N6">
        <v>46</v>
      </c>
      <c r="O6">
        <v>1</v>
      </c>
      <c r="P6" t="s">
        <v>61</v>
      </c>
      <c r="Q6" t="s">
        <v>76</v>
      </c>
      <c r="R6" t="s">
        <v>248</v>
      </c>
      <c r="S6" t="s">
        <v>141</v>
      </c>
      <c r="T6" t="s">
        <v>281</v>
      </c>
      <c r="U6" s="2">
        <v>45931.008393634256</v>
      </c>
      <c r="V6" t="s">
        <v>37</v>
      </c>
      <c r="W6" t="s">
        <v>50</v>
      </c>
      <c r="AD6" t="s">
        <v>691</v>
      </c>
    </row>
    <row r="7" spans="1:30" ht="15" customHeight="1" x14ac:dyDescent="0.25">
      <c r="A7">
        <v>46815</v>
      </c>
      <c r="B7" s="1">
        <v>45957</v>
      </c>
      <c r="C7" t="s">
        <v>57</v>
      </c>
      <c r="D7" t="s">
        <v>157</v>
      </c>
      <c r="E7" s="1">
        <v>45959</v>
      </c>
      <c r="F7" s="1">
        <v>45959</v>
      </c>
      <c r="G7" t="s">
        <v>57</v>
      </c>
      <c r="H7">
        <v>72247146</v>
      </c>
      <c r="I7" t="s">
        <v>632</v>
      </c>
      <c r="J7" t="str">
        <f>IF(
   COUNTIFS(
      $E$2:E7,TRIM(UPPER(E7)),
      $G$2:G7,TRIM(UPPER(G7)),
      $C$2:C7,TEXT(C7,"aaaa-mm-dd"),
      $I$2:I7,TEXT(I7,"0")
   )&gt;1,
   "Duplicado",
   "Único"
)</f>
        <v>Único</v>
      </c>
      <c r="K7">
        <v>3002710123</v>
      </c>
      <c r="L7" t="s">
        <v>633</v>
      </c>
      <c r="M7" s="1">
        <v>29137</v>
      </c>
      <c r="N7">
        <v>46</v>
      </c>
      <c r="O7">
        <v>1</v>
      </c>
      <c r="P7" t="s">
        <v>61</v>
      </c>
      <c r="Q7" t="s">
        <v>76</v>
      </c>
      <c r="R7" t="s">
        <v>634</v>
      </c>
      <c r="S7" t="s">
        <v>635</v>
      </c>
      <c r="T7" t="s">
        <v>111</v>
      </c>
      <c r="U7" s="2">
        <v>45957.009249884257</v>
      </c>
      <c r="V7" t="s">
        <v>37</v>
      </c>
      <c r="W7" t="s">
        <v>38</v>
      </c>
      <c r="X7" t="s">
        <v>66</v>
      </c>
      <c r="AD7" t="s">
        <v>636</v>
      </c>
    </row>
    <row r="8" spans="1:30" ht="15" customHeight="1" x14ac:dyDescent="0.25">
      <c r="A8">
        <v>42963</v>
      </c>
      <c r="B8" s="1">
        <v>45937</v>
      </c>
      <c r="C8" t="s">
        <v>53</v>
      </c>
      <c r="D8" t="s">
        <v>81</v>
      </c>
      <c r="E8" s="1">
        <v>45952</v>
      </c>
      <c r="F8" s="1">
        <v>45952</v>
      </c>
      <c r="G8" t="s">
        <v>82</v>
      </c>
      <c r="H8">
        <v>80149368</v>
      </c>
      <c r="I8" t="s">
        <v>834</v>
      </c>
      <c r="J8" t="str">
        <f>IF(
   COUNTIFS(
      $E$2:E8,TRIM(UPPER(E8)),
      $G$2:G8,TRIM(UPPER(G8)),
      $C$2:C8,TEXT(C8,"aaaa-mm-dd"),
      $I$2:I8,TEXT(I8,"0")
   )&gt;1,
   "Duplicado",
   "Único"
)</f>
        <v>Único</v>
      </c>
      <c r="K8">
        <v>3134392907</v>
      </c>
      <c r="L8" t="s">
        <v>374</v>
      </c>
      <c r="M8" s="1">
        <v>29308</v>
      </c>
      <c r="N8">
        <v>45</v>
      </c>
      <c r="O8">
        <v>1</v>
      </c>
      <c r="P8" t="s">
        <v>99</v>
      </c>
      <c r="Q8" t="s">
        <v>375</v>
      </c>
      <c r="S8" t="s">
        <v>376</v>
      </c>
      <c r="T8" t="s">
        <v>377</v>
      </c>
      <c r="U8" s="2">
        <v>45937.008900694447</v>
      </c>
      <c r="V8" t="s">
        <v>37</v>
      </c>
      <c r="W8" t="s">
        <v>89</v>
      </c>
      <c r="AD8" t="s">
        <v>378</v>
      </c>
    </row>
    <row r="9" spans="1:30" ht="15" customHeight="1" x14ac:dyDescent="0.25">
      <c r="A9">
        <v>42962</v>
      </c>
      <c r="B9" s="1">
        <v>45937</v>
      </c>
      <c r="C9" t="s">
        <v>53</v>
      </c>
      <c r="D9" t="s">
        <v>70</v>
      </c>
      <c r="E9" s="1">
        <v>45952</v>
      </c>
      <c r="F9" s="1">
        <v>45952</v>
      </c>
      <c r="G9" t="s">
        <v>145</v>
      </c>
      <c r="H9">
        <v>80149368</v>
      </c>
      <c r="I9" t="s">
        <v>834</v>
      </c>
      <c r="J9" t="str">
        <f>IF(
   COUNTIFS(
      $E$2:E9,TRIM(UPPER(E9)),
      $G$2:G9,TRIM(UPPER(G9)),
      $C$2:C9,TEXT(C9,"aaaa-mm-dd"),
      $I$2:I9,TEXT(I9,"0")
   )&gt;1,
   "Duplicado",
   "Único"
)</f>
        <v>Único</v>
      </c>
      <c r="K9">
        <v>3134392907</v>
      </c>
      <c r="L9" t="s">
        <v>374</v>
      </c>
      <c r="M9" s="1">
        <v>29308</v>
      </c>
      <c r="N9">
        <v>45</v>
      </c>
      <c r="O9">
        <v>1</v>
      </c>
      <c r="P9" t="s">
        <v>99</v>
      </c>
      <c r="Q9" t="s">
        <v>375</v>
      </c>
      <c r="S9" t="s">
        <v>376</v>
      </c>
      <c r="T9" t="s">
        <v>377</v>
      </c>
      <c r="U9" s="2">
        <v>45937.00886840278</v>
      </c>
      <c r="V9" t="s">
        <v>37</v>
      </c>
      <c r="W9" t="s">
        <v>38</v>
      </c>
      <c r="AD9" t="s">
        <v>379</v>
      </c>
    </row>
    <row r="10" spans="1:30" ht="15" customHeight="1" x14ac:dyDescent="0.25">
      <c r="A10">
        <v>41158</v>
      </c>
      <c r="B10" s="1">
        <v>45930</v>
      </c>
      <c r="C10" t="s">
        <v>53</v>
      </c>
      <c r="D10" t="s">
        <v>828</v>
      </c>
      <c r="E10" s="1">
        <v>45937</v>
      </c>
      <c r="F10" s="1">
        <v>45937</v>
      </c>
      <c r="G10" t="s">
        <v>91</v>
      </c>
      <c r="H10">
        <v>80149368</v>
      </c>
      <c r="I10" t="s">
        <v>834</v>
      </c>
      <c r="J10" t="str">
        <f>IF(
   COUNTIFS(
      $E$2:E10,TRIM(UPPER(E10)),
      $G$2:G10,TRIM(UPPER(G10)),
      $C$2:C10,TEXT(C10,"aaaa-mm-dd"),
      $I$2:I10,TEXT(I10,"0")
   )&gt;1,
   "Duplicado",
   "Único"
)</f>
        <v>Único</v>
      </c>
      <c r="K10">
        <v>3134392907</v>
      </c>
      <c r="L10" t="s">
        <v>374</v>
      </c>
      <c r="M10" s="1">
        <v>29308</v>
      </c>
      <c r="N10">
        <v>45</v>
      </c>
      <c r="O10">
        <v>1</v>
      </c>
      <c r="P10" t="s">
        <v>99</v>
      </c>
      <c r="Q10" t="s">
        <v>375</v>
      </c>
      <c r="S10" t="s">
        <v>376</v>
      </c>
      <c r="T10" t="s">
        <v>377</v>
      </c>
      <c r="U10" s="2">
        <v>45930.011727546298</v>
      </c>
      <c r="V10" t="s">
        <v>37</v>
      </c>
      <c r="W10" t="s">
        <v>38</v>
      </c>
      <c r="AD10" t="s">
        <v>380</v>
      </c>
    </row>
    <row r="11" spans="1:30" ht="15" customHeight="1" x14ac:dyDescent="0.25">
      <c r="A11">
        <v>42963</v>
      </c>
      <c r="B11" s="1">
        <v>45937</v>
      </c>
      <c r="C11" t="s">
        <v>53</v>
      </c>
      <c r="D11" t="s">
        <v>81</v>
      </c>
      <c r="E11" s="1">
        <v>45952</v>
      </c>
      <c r="F11" s="1">
        <v>45952</v>
      </c>
      <c r="G11" t="s">
        <v>82</v>
      </c>
      <c r="H11">
        <v>80149368</v>
      </c>
      <c r="I11" t="s">
        <v>834</v>
      </c>
      <c r="J11" t="str">
        <f>IF(
   COUNTIFS(
      $E$2:E11,TRIM(UPPER(E11)),
      $G$2:G11,TRIM(UPPER(G11)),
      $C$2:C11,TEXT(C11,"aaaa-mm-dd"),
      $I$2:I11,TEXT(I11,"0")
   )&gt;1,
   "Duplicado",
   "Único"
)</f>
        <v>Único</v>
      </c>
      <c r="K11">
        <v>3134392907</v>
      </c>
      <c r="L11" t="s">
        <v>374</v>
      </c>
      <c r="M11" s="1">
        <v>29308</v>
      </c>
      <c r="N11">
        <v>45</v>
      </c>
      <c r="O11">
        <v>1</v>
      </c>
      <c r="P11" t="s">
        <v>99</v>
      </c>
      <c r="Q11" t="s">
        <v>375</v>
      </c>
      <c r="S11" t="s">
        <v>376</v>
      </c>
      <c r="T11" t="s">
        <v>377</v>
      </c>
      <c r="U11" s="2">
        <v>45937.008900694447</v>
      </c>
      <c r="V11" t="s">
        <v>37</v>
      </c>
      <c r="W11" t="s">
        <v>89</v>
      </c>
      <c r="AD11" t="s">
        <v>378</v>
      </c>
    </row>
    <row r="12" spans="1:30" ht="15" customHeight="1" x14ac:dyDescent="0.25">
      <c r="A12">
        <v>41411</v>
      </c>
      <c r="B12" s="1">
        <v>45931</v>
      </c>
      <c r="C12" t="s">
        <v>57</v>
      </c>
      <c r="D12" t="s">
        <v>54</v>
      </c>
      <c r="E12" s="1">
        <v>45939</v>
      </c>
      <c r="F12" s="1">
        <v>45939</v>
      </c>
      <c r="G12" t="s">
        <v>57</v>
      </c>
      <c r="H12">
        <v>49885868</v>
      </c>
      <c r="I12" t="s">
        <v>793</v>
      </c>
      <c r="J12" t="str">
        <f>IF(
   COUNTIFS(
      $E$2:E12,TRIM(UPPER(E12)),
      $G$2:G12,TRIM(UPPER(G12)),
      $C$2:C12,TEXT(C12,"aaaa-mm-dd"),
      $I$2:I12,TEXT(I12,"0")
   )&gt;1,
   "Duplicado",
   "Único"
)</f>
        <v>Único</v>
      </c>
      <c r="K12">
        <v>3164939890</v>
      </c>
      <c r="L12" t="s">
        <v>794</v>
      </c>
      <c r="P12" t="s">
        <v>321</v>
      </c>
      <c r="Q12" t="s">
        <v>795</v>
      </c>
      <c r="R12" t="s">
        <v>796</v>
      </c>
      <c r="S12" t="s">
        <v>185</v>
      </c>
      <c r="T12" t="s">
        <v>797</v>
      </c>
      <c r="U12" s="2">
        <v>45931.010998032405</v>
      </c>
      <c r="V12" t="s">
        <v>37</v>
      </c>
      <c r="W12" t="s">
        <v>116</v>
      </c>
      <c r="AD12" t="s">
        <v>798</v>
      </c>
    </row>
    <row r="13" spans="1:30" ht="15" customHeight="1" x14ac:dyDescent="0.25">
      <c r="A13">
        <v>45355</v>
      </c>
      <c r="B13" s="1">
        <v>45950</v>
      </c>
      <c r="C13" t="s">
        <v>53</v>
      </c>
      <c r="D13" t="s">
        <v>81</v>
      </c>
      <c r="E13" s="1">
        <v>45958</v>
      </c>
      <c r="F13" s="1">
        <v>45958</v>
      </c>
      <c r="G13" t="s">
        <v>82</v>
      </c>
      <c r="H13">
        <v>1048279152</v>
      </c>
      <c r="I13" t="s">
        <v>569</v>
      </c>
      <c r="J13" t="str">
        <f>IF(
   COUNTIFS(
      $E$2:E13,TRIM(UPPER(E13)),
      $G$2:G13,TRIM(UPPER(G13)),
      $C$2:C13,TEXT(C13,"aaaa-mm-dd"),
      $I$2:I13,TEXT(I13,"0")
   )&gt;1,
   "Duplicado",
   "Único"
)</f>
        <v>Único</v>
      </c>
      <c r="K13">
        <v>3153040507</v>
      </c>
      <c r="L13" t="s">
        <v>570</v>
      </c>
      <c r="M13" s="1">
        <v>32330</v>
      </c>
      <c r="N13">
        <v>37</v>
      </c>
      <c r="O13">
        <v>1</v>
      </c>
      <c r="P13" t="s">
        <v>45</v>
      </c>
      <c r="Q13" t="s">
        <v>184</v>
      </c>
      <c r="R13" t="s">
        <v>323</v>
      </c>
      <c r="S13" t="s">
        <v>571</v>
      </c>
      <c r="T13" t="s">
        <v>572</v>
      </c>
      <c r="U13" s="2">
        <v>45950.010225694445</v>
      </c>
      <c r="V13" t="s">
        <v>37</v>
      </c>
      <c r="W13" t="s">
        <v>94</v>
      </c>
      <c r="AD13" t="s">
        <v>221</v>
      </c>
    </row>
    <row r="14" spans="1:30" ht="15" customHeight="1" x14ac:dyDescent="0.25">
      <c r="A14">
        <v>45354</v>
      </c>
      <c r="B14" s="1">
        <v>45950</v>
      </c>
      <c r="C14" t="s">
        <v>53</v>
      </c>
      <c r="D14" t="s">
        <v>828</v>
      </c>
      <c r="E14" s="1">
        <v>45958</v>
      </c>
      <c r="F14" s="1">
        <v>45958</v>
      </c>
      <c r="G14" t="s">
        <v>145</v>
      </c>
      <c r="H14">
        <v>1048279152</v>
      </c>
      <c r="I14" t="s">
        <v>569</v>
      </c>
      <c r="J14" t="str">
        <f>IF(
   COUNTIFS(
      $E$2:E14,TRIM(UPPER(E14)),
      $G$2:G14,TRIM(UPPER(G14)),
      $C$2:C14,TEXT(C14,"aaaa-mm-dd"),
      $I$2:I14,TEXT(I14,"0")
   )&gt;1,
   "Duplicado",
   "Único"
)</f>
        <v>Único</v>
      </c>
      <c r="K14">
        <v>3153040507</v>
      </c>
      <c r="L14" t="s">
        <v>570</v>
      </c>
      <c r="M14" s="1">
        <v>32330</v>
      </c>
      <c r="N14">
        <v>37</v>
      </c>
      <c r="O14">
        <v>1</v>
      </c>
      <c r="P14" t="s">
        <v>45</v>
      </c>
      <c r="Q14" t="s">
        <v>184</v>
      </c>
      <c r="R14" t="s">
        <v>323</v>
      </c>
      <c r="S14" t="s">
        <v>571</v>
      </c>
      <c r="T14" t="s">
        <v>572</v>
      </c>
      <c r="U14" s="2">
        <v>45950.010221875003</v>
      </c>
      <c r="V14" t="s">
        <v>37</v>
      </c>
      <c r="W14" t="s">
        <v>94</v>
      </c>
      <c r="AD14" t="s">
        <v>573</v>
      </c>
    </row>
    <row r="15" spans="1:30" ht="15" customHeight="1" x14ac:dyDescent="0.25">
      <c r="A15">
        <v>44932</v>
      </c>
      <c r="B15" s="1">
        <v>45947</v>
      </c>
      <c r="C15" t="s">
        <v>53</v>
      </c>
      <c r="D15" t="s">
        <v>81</v>
      </c>
      <c r="E15" s="1">
        <v>45950</v>
      </c>
      <c r="F15" s="1">
        <v>45950</v>
      </c>
      <c r="G15" t="s">
        <v>82</v>
      </c>
      <c r="H15">
        <v>1048279152</v>
      </c>
      <c r="I15" t="s">
        <v>569</v>
      </c>
      <c r="J15" t="str">
        <f>IF(
   COUNTIFS(
      $E$2:E15,TRIM(UPPER(E15)),
      $G$2:G15,TRIM(UPPER(G15)),
      $C$2:C15,TEXT(C15,"aaaa-mm-dd"),
      $I$2:I15,TEXT(I15,"0")
   )&gt;1,
   "Duplicado",
   "Único"
)</f>
        <v>Único</v>
      </c>
      <c r="K15">
        <v>3153040507</v>
      </c>
      <c r="L15" t="s">
        <v>570</v>
      </c>
      <c r="M15" s="1">
        <v>32330</v>
      </c>
      <c r="N15">
        <v>37</v>
      </c>
      <c r="O15">
        <v>1</v>
      </c>
      <c r="P15" t="s">
        <v>45</v>
      </c>
      <c r="Q15" t="s">
        <v>184</v>
      </c>
      <c r="R15" t="s">
        <v>323</v>
      </c>
      <c r="S15" t="s">
        <v>571</v>
      </c>
      <c r="T15" t="s">
        <v>572</v>
      </c>
      <c r="U15" s="2">
        <v>45947.011418865739</v>
      </c>
      <c r="V15" t="s">
        <v>37</v>
      </c>
      <c r="W15" t="s">
        <v>116</v>
      </c>
      <c r="AD15" t="s">
        <v>574</v>
      </c>
    </row>
    <row r="16" spans="1:30" ht="15" customHeight="1" x14ac:dyDescent="0.25">
      <c r="A16">
        <v>44930</v>
      </c>
      <c r="B16" s="1">
        <v>45947</v>
      </c>
      <c r="C16" t="s">
        <v>53</v>
      </c>
      <c r="D16" t="s">
        <v>70</v>
      </c>
      <c r="E16" s="1">
        <v>45950</v>
      </c>
      <c r="F16" s="1">
        <v>45950</v>
      </c>
      <c r="G16" t="s">
        <v>145</v>
      </c>
      <c r="H16">
        <v>1048279152</v>
      </c>
      <c r="I16" t="s">
        <v>569</v>
      </c>
      <c r="J16" t="str">
        <f>IF(
   COUNTIFS(
      $E$2:E16,TRIM(UPPER(E16)),
      $G$2:G16,TRIM(UPPER(G16)),
      $C$2:C16,TEXT(C16,"aaaa-mm-dd"),
      $I$2:I16,TEXT(I16,"0")
   )&gt;1,
   "Duplicado",
   "Único"
)</f>
        <v>Único</v>
      </c>
      <c r="K16">
        <v>3153040507</v>
      </c>
      <c r="L16" t="s">
        <v>570</v>
      </c>
      <c r="M16" s="1">
        <v>32330</v>
      </c>
      <c r="N16">
        <v>37</v>
      </c>
      <c r="O16">
        <v>1</v>
      </c>
      <c r="P16" t="s">
        <v>45</v>
      </c>
      <c r="Q16" t="s">
        <v>184</v>
      </c>
      <c r="R16" t="s">
        <v>323</v>
      </c>
      <c r="S16" t="s">
        <v>571</v>
      </c>
      <c r="T16" t="s">
        <v>572</v>
      </c>
      <c r="U16" s="2">
        <v>45947.011412731481</v>
      </c>
      <c r="V16" t="s">
        <v>37</v>
      </c>
      <c r="W16" t="s">
        <v>116</v>
      </c>
      <c r="AD16" t="s">
        <v>573</v>
      </c>
    </row>
    <row r="17" spans="1:30" ht="15" customHeight="1" x14ac:dyDescent="0.25">
      <c r="A17">
        <v>43954</v>
      </c>
      <c r="B17" s="1">
        <v>45944</v>
      </c>
      <c r="C17" t="s">
        <v>57</v>
      </c>
      <c r="D17" t="s">
        <v>54</v>
      </c>
      <c r="E17" s="1">
        <v>45947</v>
      </c>
      <c r="F17" s="1">
        <v>45947</v>
      </c>
      <c r="G17" t="s">
        <v>57</v>
      </c>
      <c r="H17">
        <v>1048279152</v>
      </c>
      <c r="I17" t="s">
        <v>569</v>
      </c>
      <c r="J17" t="str">
        <f>IF(
   COUNTIFS(
      $E$2:E17,TRIM(UPPER(E17)),
      $G$2:G17,TRIM(UPPER(G17)),
      $C$2:C17,TEXT(C17,"aaaa-mm-dd"),
      $I$2:I17,TEXT(I17,"0")
   )&gt;1,
   "Duplicado",
   "Único"
)</f>
        <v>Único</v>
      </c>
      <c r="K17">
        <v>3153040507</v>
      </c>
      <c r="L17" t="s">
        <v>570</v>
      </c>
      <c r="M17" s="1">
        <v>32330</v>
      </c>
      <c r="N17">
        <v>37</v>
      </c>
      <c r="O17">
        <v>1</v>
      </c>
      <c r="P17" t="s">
        <v>45</v>
      </c>
      <c r="Q17" t="s">
        <v>184</v>
      </c>
      <c r="R17" t="s">
        <v>323</v>
      </c>
      <c r="S17" t="s">
        <v>571</v>
      </c>
      <c r="T17" t="s">
        <v>572</v>
      </c>
      <c r="U17" s="2">
        <v>45944.0059287037</v>
      </c>
      <c r="V17" t="s">
        <v>37</v>
      </c>
      <c r="W17" t="s">
        <v>38</v>
      </c>
      <c r="X17" s="3" t="s">
        <v>575</v>
      </c>
      <c r="Y17" t="s">
        <v>163</v>
      </c>
      <c r="Z17" t="s">
        <v>163</v>
      </c>
      <c r="AD17" t="s">
        <v>58</v>
      </c>
    </row>
    <row r="18" spans="1:30" ht="15" customHeight="1" x14ac:dyDescent="0.25">
      <c r="A18">
        <v>47262</v>
      </c>
      <c r="B18" s="1">
        <v>45959</v>
      </c>
      <c r="C18" t="s">
        <v>57</v>
      </c>
      <c r="D18" t="s">
        <v>54</v>
      </c>
      <c r="E18" s="1">
        <v>45959</v>
      </c>
      <c r="F18" s="1">
        <v>45959</v>
      </c>
      <c r="G18" t="s">
        <v>57</v>
      </c>
      <c r="H18">
        <v>1042245621</v>
      </c>
      <c r="I18" t="s">
        <v>832</v>
      </c>
      <c r="J18" t="str">
        <f>IF(
   COUNTIFS(
      $E$2:E18,TRIM(UPPER(E18)),
      $G$2:G18,TRIM(UPPER(G18)),
      $C$2:C18,TEXT(C18,"aaaa-mm-dd"),
      $I$2:I18,TEXT(I18,"0")
   )&gt;1,
   "Duplicado",
   "Único"
)</f>
        <v>Único</v>
      </c>
      <c r="K18">
        <v>3168644866</v>
      </c>
      <c r="L18" t="s">
        <v>138</v>
      </c>
      <c r="M18" s="1">
        <v>38556</v>
      </c>
      <c r="N18">
        <v>20</v>
      </c>
      <c r="O18">
        <v>1</v>
      </c>
      <c r="P18" t="s">
        <v>45</v>
      </c>
      <c r="Q18" t="s">
        <v>139</v>
      </c>
      <c r="R18" t="s">
        <v>140</v>
      </c>
      <c r="S18" t="s">
        <v>141</v>
      </c>
      <c r="T18" t="s">
        <v>142</v>
      </c>
      <c r="U18" s="2">
        <v>45959.009100347219</v>
      </c>
      <c r="V18" t="s">
        <v>37</v>
      </c>
      <c r="W18" t="s">
        <v>38</v>
      </c>
      <c r="X18" t="s">
        <v>66</v>
      </c>
      <c r="Y18" t="s">
        <v>40</v>
      </c>
      <c r="Z18" t="s">
        <v>68</v>
      </c>
      <c r="AA18" t="s">
        <v>68</v>
      </c>
      <c r="AB18" t="s">
        <v>68</v>
      </c>
      <c r="AC18" t="s">
        <v>68</v>
      </c>
      <c r="AD18" t="s">
        <v>143</v>
      </c>
    </row>
    <row r="19" spans="1:30" ht="15" customHeight="1" x14ac:dyDescent="0.25">
      <c r="A19">
        <v>47189</v>
      </c>
      <c r="B19" s="1">
        <v>45959</v>
      </c>
      <c r="C19" t="s">
        <v>53</v>
      </c>
      <c r="D19" t="s">
        <v>81</v>
      </c>
      <c r="E19" s="1">
        <v>45961</v>
      </c>
      <c r="F19" s="1">
        <v>45961</v>
      </c>
      <c r="G19" t="s">
        <v>82</v>
      </c>
      <c r="H19">
        <v>1042245621</v>
      </c>
      <c r="I19" t="s">
        <v>832</v>
      </c>
      <c r="J19" t="str">
        <f>IF(
   COUNTIFS(
      $E$2:E19,TRIM(UPPER(E19)),
      $G$2:G19,TRIM(UPPER(G19)),
      $C$2:C19,TEXT(C19,"aaaa-mm-dd"),
      $I$2:I19,TEXT(I19,"0")
   )&gt;1,
   "Duplicado",
   "Único"
)</f>
        <v>Único</v>
      </c>
      <c r="K19">
        <v>3168644866</v>
      </c>
      <c r="L19" t="s">
        <v>138</v>
      </c>
      <c r="M19" s="1">
        <v>38556</v>
      </c>
      <c r="N19">
        <v>20</v>
      </c>
      <c r="O19">
        <v>1</v>
      </c>
      <c r="P19" t="s">
        <v>45</v>
      </c>
      <c r="Q19" t="s">
        <v>139</v>
      </c>
      <c r="R19" t="s">
        <v>140</v>
      </c>
      <c r="S19" t="s">
        <v>141</v>
      </c>
      <c r="T19" t="s">
        <v>142</v>
      </c>
      <c r="U19" s="2">
        <v>45959.00656736111</v>
      </c>
      <c r="V19" t="s">
        <v>37</v>
      </c>
      <c r="W19" t="s">
        <v>38</v>
      </c>
      <c r="AD19" t="s">
        <v>144</v>
      </c>
    </row>
    <row r="20" spans="1:30" ht="15" customHeight="1" x14ac:dyDescent="0.25">
      <c r="A20">
        <v>47188</v>
      </c>
      <c r="B20" s="1">
        <v>45959</v>
      </c>
      <c r="C20" t="s">
        <v>53</v>
      </c>
      <c r="D20" t="s">
        <v>70</v>
      </c>
      <c r="E20" s="1">
        <v>45961</v>
      </c>
      <c r="F20" s="1">
        <v>45961</v>
      </c>
      <c r="G20" t="s">
        <v>145</v>
      </c>
      <c r="H20">
        <v>1042245621</v>
      </c>
      <c r="I20" t="s">
        <v>832</v>
      </c>
      <c r="J20" t="str">
        <f>IF(
   COUNTIFS(
      $E$2:E20,TRIM(UPPER(E20)),
      $G$2:G20,TRIM(UPPER(G20)),
      $C$2:C20,TEXT(C20,"aaaa-mm-dd"),
      $I$2:I20,TEXT(I20,"0")
   )&gt;1,
   "Duplicado",
   "Único"
)</f>
        <v>Único</v>
      </c>
      <c r="K20">
        <v>3168644866</v>
      </c>
      <c r="L20" t="s">
        <v>138</v>
      </c>
      <c r="M20" s="1">
        <v>38556</v>
      </c>
      <c r="N20">
        <v>20</v>
      </c>
      <c r="O20">
        <v>1</v>
      </c>
      <c r="P20" t="s">
        <v>45</v>
      </c>
      <c r="Q20" t="s">
        <v>139</v>
      </c>
      <c r="R20" t="s">
        <v>140</v>
      </c>
      <c r="S20" t="s">
        <v>141</v>
      </c>
      <c r="T20" t="s">
        <v>142</v>
      </c>
      <c r="U20" s="2">
        <v>45959.006556481479</v>
      </c>
      <c r="V20" t="s">
        <v>37</v>
      </c>
      <c r="W20" t="s">
        <v>38</v>
      </c>
      <c r="AD20" t="s">
        <v>146</v>
      </c>
    </row>
    <row r="21" spans="1:30" ht="15" customHeight="1" x14ac:dyDescent="0.25">
      <c r="A21">
        <v>42956</v>
      </c>
      <c r="B21" s="1">
        <v>45937</v>
      </c>
      <c r="C21" t="s">
        <v>57</v>
      </c>
      <c r="D21" t="s">
        <v>54</v>
      </c>
      <c r="E21" s="1">
        <v>45954</v>
      </c>
      <c r="F21" s="1">
        <v>45954</v>
      </c>
      <c r="G21" t="s">
        <v>57</v>
      </c>
      <c r="H21">
        <v>1001892838</v>
      </c>
      <c r="I21" t="s">
        <v>732</v>
      </c>
      <c r="J21" t="str">
        <f>IF(
   COUNTIFS(
      $E$2:E21,TRIM(UPPER(E21)),
      $G$2:G21,TRIM(UPPER(G21)),
      $C$2:C21,TEXT(C21,"aaaa-mm-dd"),
      $I$2:I21,TEXT(I21,"0")
   )&gt;1,
   "Duplicado",
   "Único"
)</f>
        <v>Único</v>
      </c>
      <c r="K21">
        <v>3122447826</v>
      </c>
      <c r="L21" t="s">
        <v>733</v>
      </c>
      <c r="P21" t="s">
        <v>45</v>
      </c>
      <c r="Q21" t="s">
        <v>184</v>
      </c>
      <c r="R21" t="s">
        <v>140</v>
      </c>
      <c r="S21" t="s">
        <v>249</v>
      </c>
      <c r="T21" t="s">
        <v>734</v>
      </c>
      <c r="U21" s="2">
        <v>45937.008716898148</v>
      </c>
      <c r="V21" t="s">
        <v>37</v>
      </c>
      <c r="W21" t="s">
        <v>50</v>
      </c>
      <c r="AD21" t="s">
        <v>58</v>
      </c>
    </row>
    <row r="22" spans="1:30" ht="15" customHeight="1" x14ac:dyDescent="0.25">
      <c r="A22">
        <v>45487</v>
      </c>
      <c r="B22" s="1">
        <v>45951</v>
      </c>
      <c r="C22" t="s">
        <v>156</v>
      </c>
      <c r="D22" t="s">
        <v>157</v>
      </c>
      <c r="E22" s="1">
        <v>45955</v>
      </c>
      <c r="F22" s="1">
        <v>45955</v>
      </c>
      <c r="G22" t="s">
        <v>160</v>
      </c>
      <c r="H22">
        <v>1069465914</v>
      </c>
      <c r="I22" t="s">
        <v>500</v>
      </c>
      <c r="J22" t="str">
        <f>IF(
   COUNTIFS(
      $E$2:E22,TRIM(UPPER(E22)),
      $G$2:G22,TRIM(UPPER(G22)),
      $C$2:C22,TEXT(C22,"aaaa-mm-dd"),
      $I$2:I22,TEXT(I22,"0")
   )&gt;1,
   "Duplicado",
   "Único"
)</f>
        <v>Único</v>
      </c>
      <c r="K22">
        <v>3225931471</v>
      </c>
      <c r="L22" t="s">
        <v>501</v>
      </c>
      <c r="M22" s="1">
        <v>31629</v>
      </c>
      <c r="N22">
        <v>39</v>
      </c>
      <c r="O22">
        <v>1</v>
      </c>
      <c r="P22" t="s">
        <v>61</v>
      </c>
      <c r="Q22" t="s">
        <v>184</v>
      </c>
      <c r="R22" t="s">
        <v>140</v>
      </c>
      <c r="S22" t="s">
        <v>64</v>
      </c>
      <c r="T22" t="s">
        <v>218</v>
      </c>
      <c r="U22" s="2">
        <v>45951.005720601854</v>
      </c>
      <c r="V22" t="s">
        <v>37</v>
      </c>
      <c r="W22" t="s">
        <v>89</v>
      </c>
      <c r="AD22" t="s">
        <v>502</v>
      </c>
    </row>
    <row r="23" spans="1:30" ht="15" customHeight="1" x14ac:dyDescent="0.25">
      <c r="A23">
        <v>45486</v>
      </c>
      <c r="B23" s="1">
        <v>45951</v>
      </c>
      <c r="C23" t="s">
        <v>156</v>
      </c>
      <c r="D23" t="s">
        <v>157</v>
      </c>
      <c r="E23" s="1">
        <v>45954</v>
      </c>
      <c r="F23" s="1">
        <v>45954</v>
      </c>
      <c r="G23" t="s">
        <v>160</v>
      </c>
      <c r="H23">
        <v>1069465914</v>
      </c>
      <c r="I23" t="s">
        <v>500</v>
      </c>
      <c r="J23" t="str">
        <f>IF(
   COUNTIFS(
      $E$2:E23,TRIM(UPPER(E23)),
      $G$2:G23,TRIM(UPPER(G23)),
      $C$2:C23,TEXT(C23,"aaaa-mm-dd"),
      $I$2:I23,TEXT(I23,"0")
   )&gt;1,
   "Duplicado",
   "Único"
)</f>
        <v>Único</v>
      </c>
      <c r="K23">
        <v>3225931471</v>
      </c>
      <c r="L23" t="s">
        <v>501</v>
      </c>
      <c r="M23" s="1">
        <v>31629</v>
      </c>
      <c r="N23">
        <v>39</v>
      </c>
      <c r="O23">
        <v>1</v>
      </c>
      <c r="P23" t="s">
        <v>61</v>
      </c>
      <c r="Q23" t="s">
        <v>184</v>
      </c>
      <c r="R23" t="s">
        <v>140</v>
      </c>
      <c r="S23" t="s">
        <v>64</v>
      </c>
      <c r="T23" t="s">
        <v>218</v>
      </c>
      <c r="U23" s="2">
        <v>45951.005712500002</v>
      </c>
      <c r="V23" t="s">
        <v>37</v>
      </c>
      <c r="W23" t="s">
        <v>89</v>
      </c>
      <c r="AD23" t="s">
        <v>503</v>
      </c>
    </row>
    <row r="24" spans="1:30" ht="15" customHeight="1" x14ac:dyDescent="0.25">
      <c r="A24">
        <v>42028</v>
      </c>
      <c r="B24" s="1">
        <v>45933</v>
      </c>
      <c r="C24" t="s">
        <v>57</v>
      </c>
      <c r="D24" t="s">
        <v>828</v>
      </c>
      <c r="E24" s="1">
        <v>45937</v>
      </c>
      <c r="F24" s="1">
        <v>45937</v>
      </c>
      <c r="G24" t="s">
        <v>57</v>
      </c>
      <c r="H24">
        <v>1069465914</v>
      </c>
      <c r="I24" t="s">
        <v>500</v>
      </c>
      <c r="J24" t="str">
        <f>IF(
   COUNTIFS(
      $E$2:E24,TRIM(UPPER(E24)),
      $G$2:G24,TRIM(UPPER(G24)),
      $C$2:C24,TEXT(C24,"aaaa-mm-dd"),
      $I$2:I24,TEXT(I24,"0")
   )&gt;1,
   "Duplicado",
   "Único"
)</f>
        <v>Único</v>
      </c>
      <c r="K24">
        <v>3225931471</v>
      </c>
      <c r="L24" t="s">
        <v>501</v>
      </c>
      <c r="M24" s="1">
        <v>31629</v>
      </c>
      <c r="N24">
        <v>39</v>
      </c>
      <c r="O24">
        <v>1</v>
      </c>
      <c r="P24" t="s">
        <v>61</v>
      </c>
      <c r="Q24" t="s">
        <v>184</v>
      </c>
      <c r="R24" t="s">
        <v>140</v>
      </c>
      <c r="S24" t="s">
        <v>64</v>
      </c>
      <c r="T24" t="s">
        <v>218</v>
      </c>
      <c r="U24" s="2">
        <v>45933.010498958334</v>
      </c>
      <c r="V24" t="s">
        <v>37</v>
      </c>
      <c r="W24" t="s">
        <v>38</v>
      </c>
      <c r="X24" t="s">
        <v>66</v>
      </c>
      <c r="Y24" t="s">
        <v>67</v>
      </c>
      <c r="AD24" t="s">
        <v>504</v>
      </c>
    </row>
    <row r="25" spans="1:30" ht="15" customHeight="1" x14ac:dyDescent="0.25">
      <c r="A25">
        <v>46007</v>
      </c>
      <c r="B25" s="1">
        <v>45953</v>
      </c>
      <c r="C25" t="s">
        <v>156</v>
      </c>
      <c r="D25" t="s">
        <v>157</v>
      </c>
      <c r="E25" s="1">
        <v>45958</v>
      </c>
      <c r="F25" s="1">
        <v>45958</v>
      </c>
      <c r="G25" t="s">
        <v>158</v>
      </c>
      <c r="H25">
        <v>1113691899</v>
      </c>
      <c r="I25" t="s">
        <v>615</v>
      </c>
      <c r="J25" t="str">
        <f>IF(
   COUNTIFS(
      $E$2:E25,TRIM(UPPER(E25)),
      $G$2:G25,TRIM(UPPER(G25)),
      $C$2:C25,TEXT(C25,"aaaa-mm-dd"),
      $I$2:I25,TEXT(I25,"0")
   )&gt;1,
   "Duplicado",
   "Único"
)</f>
        <v>Único</v>
      </c>
      <c r="K25">
        <v>3155966317</v>
      </c>
      <c r="L25" t="s">
        <v>616</v>
      </c>
      <c r="M25" s="1">
        <v>35960</v>
      </c>
      <c r="N25">
        <v>27</v>
      </c>
      <c r="O25">
        <v>1</v>
      </c>
      <c r="P25" t="s">
        <v>61</v>
      </c>
      <c r="Q25" t="s">
        <v>617</v>
      </c>
      <c r="R25" t="s">
        <v>618</v>
      </c>
      <c r="S25" t="s">
        <v>619</v>
      </c>
      <c r="T25" t="s">
        <v>620</v>
      </c>
      <c r="U25" s="2">
        <v>45953.006383796295</v>
      </c>
      <c r="V25" t="s">
        <v>37</v>
      </c>
      <c r="W25" t="s">
        <v>38</v>
      </c>
      <c r="AD25" t="s">
        <v>621</v>
      </c>
    </row>
    <row r="26" spans="1:30" ht="15" customHeight="1" x14ac:dyDescent="0.25">
      <c r="A26">
        <v>46005</v>
      </c>
      <c r="B26" s="1">
        <v>45953</v>
      </c>
      <c r="C26" t="s">
        <v>156</v>
      </c>
      <c r="D26" t="s">
        <v>157</v>
      </c>
      <c r="E26" s="1">
        <v>45957</v>
      </c>
      <c r="F26" s="1">
        <v>45957</v>
      </c>
      <c r="G26" t="s">
        <v>160</v>
      </c>
      <c r="H26">
        <v>1113691899</v>
      </c>
      <c r="I26" t="s">
        <v>615</v>
      </c>
      <c r="J26" t="str">
        <f>IF(
   COUNTIFS(
      $E$2:E26,TRIM(UPPER(E26)),
      $G$2:G26,TRIM(UPPER(G26)),
      $C$2:C26,TEXT(C26,"aaaa-mm-dd"),
      $I$2:I26,TEXT(I26,"0")
   )&gt;1,
   "Duplicado",
   "Único"
)</f>
        <v>Único</v>
      </c>
      <c r="K26">
        <v>3155966317</v>
      </c>
      <c r="L26" t="s">
        <v>616</v>
      </c>
      <c r="M26" s="1">
        <v>35960</v>
      </c>
      <c r="N26">
        <v>27</v>
      </c>
      <c r="O26">
        <v>1</v>
      </c>
      <c r="P26" t="s">
        <v>61</v>
      </c>
      <c r="Q26" t="s">
        <v>617</v>
      </c>
      <c r="R26" t="s">
        <v>618</v>
      </c>
      <c r="S26" t="s">
        <v>619</v>
      </c>
      <c r="T26" t="s">
        <v>620</v>
      </c>
      <c r="U26" s="2">
        <v>45953.006379513892</v>
      </c>
      <c r="V26" t="s">
        <v>37</v>
      </c>
      <c r="W26" t="s">
        <v>89</v>
      </c>
      <c r="AD26" t="s">
        <v>622</v>
      </c>
    </row>
    <row r="27" spans="1:30" ht="15" customHeight="1" x14ac:dyDescent="0.25">
      <c r="A27">
        <v>43255</v>
      </c>
      <c r="B27" s="1">
        <v>45938</v>
      </c>
      <c r="C27" t="s">
        <v>57</v>
      </c>
      <c r="D27" t="s">
        <v>54</v>
      </c>
      <c r="E27" s="1">
        <v>45938</v>
      </c>
      <c r="F27" s="1">
        <v>45938</v>
      </c>
      <c r="G27" t="s">
        <v>57</v>
      </c>
      <c r="H27">
        <v>1113691899</v>
      </c>
      <c r="I27" t="s">
        <v>615</v>
      </c>
      <c r="J27" t="str">
        <f>IF(
   COUNTIFS(
      $E$2:E27,TRIM(UPPER(E27)),
      $G$2:G27,TRIM(UPPER(G27)),
      $C$2:C27,TEXT(C27,"aaaa-mm-dd"),
      $I$2:I27,TEXT(I27,"0")
   )&gt;1,
   "Duplicado",
   "Único"
)</f>
        <v>Único</v>
      </c>
      <c r="K27">
        <v>3155966317</v>
      </c>
      <c r="L27" t="s">
        <v>616</v>
      </c>
      <c r="M27" s="1">
        <v>35960</v>
      </c>
      <c r="N27">
        <v>27</v>
      </c>
      <c r="O27">
        <v>1</v>
      </c>
      <c r="P27" t="s">
        <v>61</v>
      </c>
      <c r="Q27" t="s">
        <v>617</v>
      </c>
      <c r="R27" t="s">
        <v>618</v>
      </c>
      <c r="S27" t="s">
        <v>619</v>
      </c>
      <c r="T27" t="s">
        <v>620</v>
      </c>
      <c r="U27" s="2">
        <v>45938.011423958334</v>
      </c>
      <c r="V27" t="s">
        <v>37</v>
      </c>
      <c r="W27" t="s">
        <v>421</v>
      </c>
      <c r="X27" t="s">
        <v>623</v>
      </c>
      <c r="AD27" t="s">
        <v>624</v>
      </c>
    </row>
    <row r="28" spans="1:30" ht="15" customHeight="1" x14ac:dyDescent="0.25">
      <c r="A28">
        <v>43303</v>
      </c>
      <c r="B28" s="1">
        <v>45939</v>
      </c>
      <c r="C28" t="s">
        <v>57</v>
      </c>
      <c r="D28" t="s">
        <v>70</v>
      </c>
      <c r="E28" s="1">
        <v>45947</v>
      </c>
      <c r="F28" s="1">
        <v>45947</v>
      </c>
      <c r="G28" t="s">
        <v>57</v>
      </c>
      <c r="H28">
        <v>5239049</v>
      </c>
      <c r="I28" t="s">
        <v>576</v>
      </c>
      <c r="J28" t="str">
        <f>IF(
   COUNTIFS(
      $E$2:E28,TRIM(UPPER(E28)),
      $G$2:G28,TRIM(UPPER(G28)),
      $C$2:C28,TEXT(C28,"aaaa-mm-dd"),
      $I$2:I28,TEXT(I28,"0")
   )&gt;1,
   "Duplicado",
   "Único"
)</f>
        <v>Único</v>
      </c>
      <c r="K28">
        <v>3146502695</v>
      </c>
      <c r="L28" t="s">
        <v>577</v>
      </c>
      <c r="M28" s="1">
        <v>33700</v>
      </c>
      <c r="N28">
        <v>33</v>
      </c>
      <c r="O28">
        <v>1</v>
      </c>
      <c r="P28" t="s">
        <v>578</v>
      </c>
      <c r="Q28" t="s">
        <v>579</v>
      </c>
      <c r="R28" t="s">
        <v>580</v>
      </c>
      <c r="S28" t="s">
        <v>581</v>
      </c>
      <c r="T28" t="s">
        <v>552</v>
      </c>
      <c r="U28" s="2">
        <v>45939.006160185185</v>
      </c>
      <c r="V28" t="s">
        <v>37</v>
      </c>
      <c r="W28" t="s">
        <v>50</v>
      </c>
      <c r="X28" s="3" t="s">
        <v>51</v>
      </c>
      <c r="Y28" t="s">
        <v>163</v>
      </c>
      <c r="Z28" t="s">
        <v>163</v>
      </c>
      <c r="AD28" t="s">
        <v>365</v>
      </c>
    </row>
    <row r="29" spans="1:30" ht="15" customHeight="1" x14ac:dyDescent="0.25">
      <c r="A29">
        <v>44820</v>
      </c>
      <c r="B29" s="1">
        <v>45947</v>
      </c>
      <c r="C29" t="s">
        <v>57</v>
      </c>
      <c r="D29" t="s">
        <v>54</v>
      </c>
      <c r="E29" s="1">
        <v>45948</v>
      </c>
      <c r="F29" s="1">
        <v>45948</v>
      </c>
      <c r="G29" t="s">
        <v>57</v>
      </c>
      <c r="H29">
        <v>5239049</v>
      </c>
      <c r="I29" t="s">
        <v>576</v>
      </c>
      <c r="J29" t="str">
        <f>IF(
   COUNTIFS(
      $E$2:E29,TRIM(UPPER(E29)),
      $G$2:G29,TRIM(UPPER(G29)),
      $C$2:C29,TEXT(C29,"aaaa-mm-dd"),
      $I$2:I29,TEXT(I29,"0")
   )&gt;1,
   "Duplicado",
   "Único"
)</f>
        <v>Único</v>
      </c>
      <c r="K29">
        <v>3146502695</v>
      </c>
      <c r="L29" t="s">
        <v>577</v>
      </c>
      <c r="M29" s="1">
        <v>33700</v>
      </c>
      <c r="N29">
        <v>33</v>
      </c>
      <c r="O29">
        <v>1</v>
      </c>
      <c r="P29" t="s">
        <v>578</v>
      </c>
      <c r="Q29" t="s">
        <v>579</v>
      </c>
      <c r="R29" t="s">
        <v>580</v>
      </c>
      <c r="S29" t="s">
        <v>581</v>
      </c>
      <c r="T29" t="s">
        <v>552</v>
      </c>
      <c r="U29" s="2">
        <v>45947.008126736109</v>
      </c>
      <c r="V29" t="s">
        <v>37</v>
      </c>
      <c r="W29" t="s">
        <v>38</v>
      </c>
      <c r="X29" s="3" t="s">
        <v>51</v>
      </c>
      <c r="Y29" t="s">
        <v>163</v>
      </c>
      <c r="Z29" t="s">
        <v>163</v>
      </c>
      <c r="AD29" t="s">
        <v>582</v>
      </c>
    </row>
    <row r="30" spans="1:30" ht="15" customHeight="1" x14ac:dyDescent="0.25">
      <c r="A30">
        <v>47016</v>
      </c>
      <c r="B30" s="1">
        <v>45958</v>
      </c>
      <c r="C30" t="s">
        <v>57</v>
      </c>
      <c r="D30" t="s">
        <v>828</v>
      </c>
      <c r="E30" s="1">
        <v>45958</v>
      </c>
      <c r="F30" s="1">
        <v>45958</v>
      </c>
      <c r="G30" t="s">
        <v>57</v>
      </c>
      <c r="H30">
        <v>55225692</v>
      </c>
      <c r="I30" t="s">
        <v>757</v>
      </c>
      <c r="J30" t="str">
        <f>IF(
   COUNTIFS(
      $E$2:E30,TRIM(UPPER(E30)),
      $G$2:G30,TRIM(UPPER(G30)),
      $C$2:C30,TEXT(C30,"aaaa-mm-dd"),
      $I$2:I30,TEXT(I30,"0")
   )&gt;1,
   "Duplicado",
   "Único"
)</f>
        <v>Único</v>
      </c>
      <c r="K30">
        <v>3005735927</v>
      </c>
      <c r="L30" t="s">
        <v>758</v>
      </c>
      <c r="P30" t="s">
        <v>61</v>
      </c>
      <c r="Q30" t="s">
        <v>759</v>
      </c>
      <c r="S30" t="s">
        <v>211</v>
      </c>
      <c r="T30" t="s">
        <v>760</v>
      </c>
      <c r="U30" s="2">
        <v>45958.008381944448</v>
      </c>
      <c r="V30" t="s">
        <v>37</v>
      </c>
      <c r="W30" t="s">
        <v>38</v>
      </c>
      <c r="AD30" t="s">
        <v>761</v>
      </c>
    </row>
    <row r="31" spans="1:30" ht="15" customHeight="1" x14ac:dyDescent="0.25">
      <c r="A31">
        <v>45037</v>
      </c>
      <c r="B31" s="1">
        <v>45948</v>
      </c>
      <c r="C31" t="s">
        <v>29</v>
      </c>
      <c r="D31" t="s">
        <v>54</v>
      </c>
      <c r="E31" s="1">
        <v>45950</v>
      </c>
      <c r="F31" s="1">
        <v>45950</v>
      </c>
      <c r="G31" t="s">
        <v>42</v>
      </c>
      <c r="H31">
        <v>1047233691</v>
      </c>
      <c r="I31" t="s">
        <v>130</v>
      </c>
      <c r="J31" t="str">
        <f>IF(
   COUNTIFS(
      $E$2:E31,TRIM(UPPER(E31)),
      $G$2:G31,TRIM(UPPER(G31)),
      $C$2:C31,TEXT(C31,"aaaa-mm-dd"),
      $I$2:I31,TEXT(I31,"0")
   )&gt;1,
   "Duplicado",
   "Único"
)</f>
        <v>Único</v>
      </c>
      <c r="K31">
        <v>3023811993</v>
      </c>
      <c r="L31" t="s">
        <v>131</v>
      </c>
      <c r="M31" s="1">
        <v>34628</v>
      </c>
      <c r="N31">
        <v>31</v>
      </c>
      <c r="O31">
        <v>1</v>
      </c>
      <c r="P31" t="s">
        <v>45</v>
      </c>
      <c r="Q31" t="s">
        <v>132</v>
      </c>
      <c r="R31" t="s">
        <v>133</v>
      </c>
      <c r="S31" t="s">
        <v>134</v>
      </c>
      <c r="T31" t="s">
        <v>135</v>
      </c>
      <c r="U31" s="2">
        <v>45948.007349884261</v>
      </c>
      <c r="V31" t="s">
        <v>37</v>
      </c>
      <c r="W31" t="s">
        <v>136</v>
      </c>
      <c r="X31" t="s">
        <v>66</v>
      </c>
      <c r="Y31" t="s">
        <v>67</v>
      </c>
      <c r="Z31" t="s">
        <v>68</v>
      </c>
      <c r="AA31" t="s">
        <v>68</v>
      </c>
      <c r="AB31" t="s">
        <v>68</v>
      </c>
      <c r="AC31" t="s">
        <v>68</v>
      </c>
      <c r="AD31" t="s">
        <v>137</v>
      </c>
    </row>
    <row r="32" spans="1:30" ht="15" customHeight="1" x14ac:dyDescent="0.25">
      <c r="A32">
        <v>21133</v>
      </c>
      <c r="B32" s="1">
        <v>45779</v>
      </c>
      <c r="C32" t="s">
        <v>29</v>
      </c>
      <c r="D32" t="s">
        <v>70</v>
      </c>
      <c r="E32" s="1">
        <v>45955</v>
      </c>
      <c r="F32" s="1">
        <v>45955</v>
      </c>
      <c r="G32" t="s">
        <v>30</v>
      </c>
      <c r="H32">
        <v>1074187220</v>
      </c>
      <c r="I32" t="s">
        <v>165</v>
      </c>
      <c r="J32" t="str">
        <f>IF(
   COUNTIFS(
      $E$2:E32,TRIM(UPPER(E32)),
      $G$2:G32,TRIM(UPPER(G32)),
      $C$2:C32,TEXT(C32,"aaaa-mm-dd"),
      $I$2:I32,TEXT(I32,"0")
   )&gt;1,
   "Duplicado",
   "Único"
)</f>
        <v>Único</v>
      </c>
      <c r="K32">
        <v>3142892939</v>
      </c>
      <c r="L32" t="s">
        <v>166</v>
      </c>
      <c r="M32" s="1">
        <v>34245</v>
      </c>
      <c r="N32">
        <v>32</v>
      </c>
      <c r="O32">
        <v>1</v>
      </c>
      <c r="P32" t="s">
        <v>99</v>
      </c>
      <c r="Q32" t="s">
        <v>167</v>
      </c>
      <c r="R32" t="s">
        <v>168</v>
      </c>
      <c r="S32" t="s">
        <v>169</v>
      </c>
      <c r="T32" t="s">
        <v>170</v>
      </c>
      <c r="U32" s="2">
        <v>45779.006100115737</v>
      </c>
      <c r="V32" t="s">
        <v>37</v>
      </c>
      <c r="W32" t="s">
        <v>50</v>
      </c>
      <c r="X32" s="3" t="s">
        <v>171</v>
      </c>
      <c r="Y32" t="s">
        <v>67</v>
      </c>
      <c r="Z32" t="s">
        <v>67</v>
      </c>
      <c r="AA32" t="s">
        <v>68</v>
      </c>
      <c r="AB32" t="s">
        <v>68</v>
      </c>
      <c r="AC32" t="s">
        <v>68</v>
      </c>
      <c r="AD32" t="s">
        <v>172</v>
      </c>
    </row>
    <row r="33" spans="1:30" ht="15" customHeight="1" x14ac:dyDescent="0.25">
      <c r="A33">
        <v>44145</v>
      </c>
      <c r="B33" s="1">
        <v>45944</v>
      </c>
      <c r="C33" t="s">
        <v>57</v>
      </c>
      <c r="D33" t="s">
        <v>54</v>
      </c>
      <c r="E33" s="1">
        <v>45944</v>
      </c>
      <c r="F33" s="1">
        <v>45944</v>
      </c>
      <c r="G33" t="s">
        <v>57</v>
      </c>
      <c r="H33">
        <v>1019058745</v>
      </c>
      <c r="I33" t="s">
        <v>657</v>
      </c>
      <c r="J33" t="str">
        <f>IF(
   COUNTIFS(
      $E$2:E33,TRIM(UPPER(E33)),
      $G$2:G33,TRIM(UPPER(G33)),
      $C$2:C33,TEXT(C33,"aaaa-mm-dd"),
      $I$2:I33,TEXT(I33,"0")
   )&gt;1,
   "Duplicado",
   "Único"
)</f>
        <v>Único</v>
      </c>
      <c r="K33">
        <v>3502626262</v>
      </c>
      <c r="L33" t="s">
        <v>658</v>
      </c>
      <c r="M33" s="1">
        <v>33370</v>
      </c>
      <c r="N33">
        <v>34</v>
      </c>
      <c r="O33">
        <v>1</v>
      </c>
      <c r="P33" t="s">
        <v>61</v>
      </c>
      <c r="Q33" t="s">
        <v>659</v>
      </c>
      <c r="R33" t="s">
        <v>531</v>
      </c>
      <c r="S33" t="s">
        <v>660</v>
      </c>
      <c r="T33" t="s">
        <v>661</v>
      </c>
      <c r="U33" s="2">
        <v>45944.010642939815</v>
      </c>
      <c r="V33" t="s">
        <v>37</v>
      </c>
      <c r="W33" t="s">
        <v>421</v>
      </c>
      <c r="X33" t="s">
        <v>66</v>
      </c>
      <c r="AD33" t="s">
        <v>662</v>
      </c>
    </row>
    <row r="34" spans="1:30" ht="15" customHeight="1" x14ac:dyDescent="0.25">
      <c r="A34">
        <v>12114</v>
      </c>
      <c r="B34" s="1">
        <v>45691</v>
      </c>
      <c r="C34" t="s">
        <v>830</v>
      </c>
      <c r="D34" t="s">
        <v>70</v>
      </c>
      <c r="E34" s="1">
        <v>45931</v>
      </c>
      <c r="F34" s="1">
        <v>45931</v>
      </c>
      <c r="G34" t="s">
        <v>71</v>
      </c>
      <c r="H34">
        <v>1019058745</v>
      </c>
      <c r="I34" t="s">
        <v>657</v>
      </c>
      <c r="J34" t="str">
        <f>IF(
   COUNTIFS(
      $E$2:E34,TRIM(UPPER(E34)),
      $G$2:G34,TRIM(UPPER(G34)),
      $C$2:C34,TEXT(C34,"aaaa-mm-dd"),
      $I$2:I34,TEXT(I34,"0")
   )&gt;1,
   "Duplicado",
   "Único"
)</f>
        <v>Único</v>
      </c>
      <c r="K34">
        <v>3502626262</v>
      </c>
      <c r="L34" t="s">
        <v>658</v>
      </c>
      <c r="M34" s="1">
        <v>33370</v>
      </c>
      <c r="N34">
        <v>34</v>
      </c>
      <c r="O34">
        <v>1</v>
      </c>
      <c r="P34" t="s">
        <v>61</v>
      </c>
      <c r="Q34" t="s">
        <v>659</v>
      </c>
      <c r="R34" t="s">
        <v>531</v>
      </c>
      <c r="S34" t="s">
        <v>660</v>
      </c>
      <c r="T34" t="s">
        <v>661</v>
      </c>
      <c r="U34" s="2">
        <v>45691.005871990739</v>
      </c>
      <c r="V34" t="s">
        <v>37</v>
      </c>
      <c r="W34" t="s">
        <v>50</v>
      </c>
      <c r="AD34" t="s">
        <v>663</v>
      </c>
    </row>
    <row r="35" spans="1:30" ht="15" customHeight="1" x14ac:dyDescent="0.25">
      <c r="A35">
        <v>43436</v>
      </c>
      <c r="B35" s="1">
        <v>45939</v>
      </c>
      <c r="C35" t="s">
        <v>57</v>
      </c>
      <c r="D35" t="s">
        <v>70</v>
      </c>
      <c r="E35" s="1">
        <v>45940</v>
      </c>
      <c r="F35" s="1">
        <v>45940</v>
      </c>
      <c r="G35" t="s">
        <v>57</v>
      </c>
      <c r="H35">
        <v>32831277</v>
      </c>
      <c r="I35" t="s">
        <v>312</v>
      </c>
      <c r="J35" t="str">
        <f>IF(
   COUNTIFS(
      $E$2:E35,TRIM(UPPER(E35)),
      $G$2:G35,TRIM(UPPER(G35)),
      $C$2:C35,TEXT(C35,"aaaa-mm-dd"),
      $I$2:I35,TEXT(I35,"0")
   )&gt;1,
   "Duplicado",
   "Único"
)</f>
        <v>Único</v>
      </c>
      <c r="K35">
        <v>3003044250</v>
      </c>
      <c r="L35" t="s">
        <v>313</v>
      </c>
      <c r="M35" s="1">
        <v>21956</v>
      </c>
      <c r="N35">
        <v>65</v>
      </c>
      <c r="O35">
        <v>1</v>
      </c>
      <c r="P35" t="s">
        <v>45</v>
      </c>
      <c r="Q35" t="s">
        <v>314</v>
      </c>
      <c r="R35" t="s">
        <v>315</v>
      </c>
      <c r="S35" t="s">
        <v>316</v>
      </c>
      <c r="T35" t="s">
        <v>317</v>
      </c>
      <c r="U35" s="2">
        <v>45939.011135185188</v>
      </c>
      <c r="V35" t="s">
        <v>37</v>
      </c>
      <c r="W35" t="s">
        <v>38</v>
      </c>
      <c r="X35" t="s">
        <v>318</v>
      </c>
      <c r="Y35" t="s">
        <v>67</v>
      </c>
      <c r="Z35" t="s">
        <v>68</v>
      </c>
      <c r="AA35" t="s">
        <v>68</v>
      </c>
      <c r="AB35" t="s">
        <v>68</v>
      </c>
      <c r="AC35" t="s">
        <v>68</v>
      </c>
      <c r="AD35" t="s">
        <v>58</v>
      </c>
    </row>
    <row r="36" spans="1:30" ht="15" customHeight="1" x14ac:dyDescent="0.25">
      <c r="A36">
        <v>43009</v>
      </c>
      <c r="B36" s="1">
        <v>45937</v>
      </c>
      <c r="C36" t="s">
        <v>29</v>
      </c>
      <c r="D36" t="s">
        <v>54</v>
      </c>
      <c r="E36" s="1">
        <v>45944</v>
      </c>
      <c r="F36" s="1">
        <v>45944</v>
      </c>
      <c r="G36" t="s">
        <v>42</v>
      </c>
      <c r="H36">
        <v>1047446651</v>
      </c>
      <c r="I36" t="s">
        <v>97</v>
      </c>
      <c r="J36" t="str">
        <f>IF(
   COUNTIFS(
      $E$2:E36,TRIM(UPPER(E36)),
      $G$2:G36,TRIM(UPPER(G36)),
      $C$2:C36,TEXT(C36,"aaaa-mm-dd"),
      $I$2:I36,TEXT(I36,"0")
   )&gt;1,
   "Duplicado",
   "Único"
)</f>
        <v>Único</v>
      </c>
      <c r="K36">
        <v>3126403284</v>
      </c>
      <c r="L36" t="s">
        <v>98</v>
      </c>
      <c r="M36" s="1">
        <v>33594</v>
      </c>
      <c r="N36">
        <v>33</v>
      </c>
      <c r="O36">
        <v>1</v>
      </c>
      <c r="P36" t="s">
        <v>99</v>
      </c>
      <c r="Q36" t="s">
        <v>100</v>
      </c>
      <c r="R36" t="s">
        <v>101</v>
      </c>
      <c r="S36" t="s">
        <v>102</v>
      </c>
      <c r="T36" t="s">
        <v>103</v>
      </c>
      <c r="U36" s="2">
        <v>45937.010515740738</v>
      </c>
      <c r="V36" t="s">
        <v>37</v>
      </c>
      <c r="W36" t="s">
        <v>38</v>
      </c>
      <c r="X36" t="s">
        <v>66</v>
      </c>
      <c r="Y36" t="s">
        <v>67</v>
      </c>
      <c r="AD36" t="s">
        <v>104</v>
      </c>
    </row>
    <row r="37" spans="1:30" ht="15" customHeight="1" x14ac:dyDescent="0.25">
      <c r="A37">
        <v>42647</v>
      </c>
      <c r="B37" s="1">
        <v>45936</v>
      </c>
      <c r="C37" t="s">
        <v>29</v>
      </c>
      <c r="D37" t="s">
        <v>54</v>
      </c>
      <c r="E37" s="1">
        <v>45937</v>
      </c>
      <c r="F37" s="1">
        <v>45937</v>
      </c>
      <c r="G37" t="s">
        <v>30</v>
      </c>
      <c r="H37">
        <v>1047446651</v>
      </c>
      <c r="I37" t="s">
        <v>97</v>
      </c>
      <c r="J37" t="str">
        <f>IF(
   COUNTIFS(
      $E$2:E37,TRIM(UPPER(E37)),
      $G$2:G37,TRIM(UPPER(G37)),
      $C$2:C37,TEXT(C37,"aaaa-mm-dd"),
      $I$2:I37,TEXT(I37,"0")
   )&gt;1,
   "Duplicado",
   "Único"
)</f>
        <v>Único</v>
      </c>
      <c r="K37">
        <v>3126403284</v>
      </c>
      <c r="L37" t="s">
        <v>98</v>
      </c>
      <c r="M37" s="1">
        <v>33594</v>
      </c>
      <c r="N37">
        <v>33</v>
      </c>
      <c r="O37">
        <v>1</v>
      </c>
      <c r="P37" t="s">
        <v>99</v>
      </c>
      <c r="Q37" t="s">
        <v>100</v>
      </c>
      <c r="R37" t="s">
        <v>101</v>
      </c>
      <c r="S37" t="s">
        <v>102</v>
      </c>
      <c r="T37" t="s">
        <v>103</v>
      </c>
      <c r="U37" s="2">
        <v>45936.007084606485</v>
      </c>
      <c r="V37" t="s">
        <v>37</v>
      </c>
      <c r="W37" t="s">
        <v>94</v>
      </c>
      <c r="X37" t="s">
        <v>66</v>
      </c>
      <c r="Y37" t="s">
        <v>67</v>
      </c>
      <c r="AD37" t="s">
        <v>105</v>
      </c>
    </row>
    <row r="38" spans="1:30" ht="15" customHeight="1" x14ac:dyDescent="0.25">
      <c r="A38">
        <v>8940</v>
      </c>
      <c r="B38" s="1">
        <v>45637</v>
      </c>
      <c r="C38" t="s">
        <v>830</v>
      </c>
      <c r="D38" t="s">
        <v>54</v>
      </c>
      <c r="E38" s="1">
        <v>45934</v>
      </c>
      <c r="F38" s="1">
        <v>45934</v>
      </c>
      <c r="G38" t="s">
        <v>71</v>
      </c>
      <c r="H38">
        <v>1047446651</v>
      </c>
      <c r="I38" t="s">
        <v>97</v>
      </c>
      <c r="J38" t="str">
        <f>IF(
   COUNTIFS(
      $E$2:E38,TRIM(UPPER(E38)),
      $G$2:G38,TRIM(UPPER(G38)),
      $C$2:C38,TEXT(C38,"aaaa-mm-dd"),
      $I$2:I38,TEXT(I38,"0")
   )&gt;1,
   "Duplicado",
   "Único"
)</f>
        <v>Único</v>
      </c>
      <c r="K38">
        <v>3126403284</v>
      </c>
      <c r="L38" t="s">
        <v>98</v>
      </c>
      <c r="M38" s="1">
        <v>33594</v>
      </c>
      <c r="N38">
        <v>33</v>
      </c>
      <c r="O38">
        <v>1</v>
      </c>
      <c r="P38" t="s">
        <v>99</v>
      </c>
      <c r="Q38" t="s">
        <v>100</v>
      </c>
      <c r="R38" t="s">
        <v>101</v>
      </c>
      <c r="S38" t="s">
        <v>102</v>
      </c>
      <c r="T38" t="s">
        <v>103</v>
      </c>
      <c r="U38" s="2">
        <v>45637.007263425927</v>
      </c>
      <c r="V38" t="s">
        <v>37</v>
      </c>
      <c r="W38" t="s">
        <v>50</v>
      </c>
      <c r="AD38" t="s">
        <v>106</v>
      </c>
    </row>
    <row r="39" spans="1:30" ht="15" customHeight="1" x14ac:dyDescent="0.25">
      <c r="A39">
        <v>46949</v>
      </c>
      <c r="B39" s="1">
        <v>45958</v>
      </c>
      <c r="C39" t="s">
        <v>53</v>
      </c>
      <c r="D39" t="s">
        <v>828</v>
      </c>
      <c r="E39" s="1">
        <v>45959</v>
      </c>
      <c r="F39" s="1">
        <v>45959</v>
      </c>
      <c r="G39" t="s">
        <v>145</v>
      </c>
      <c r="H39">
        <v>1004352749</v>
      </c>
      <c r="I39" t="s">
        <v>181</v>
      </c>
      <c r="J39" t="str">
        <f>IF(
   COUNTIFS(
      $E$2:E39,TRIM(UPPER(E39)),
      $G$2:G39,TRIM(UPPER(G39)),
      $C$2:C39,TEXT(C39,"aaaa-mm-dd"),
      $I$2:I39,TEXT(I39,"0")
   )&gt;1,
   "Duplicado",
   "Único"
)</f>
        <v>Único</v>
      </c>
      <c r="K39">
        <v>3008091903</v>
      </c>
      <c r="L39" t="s">
        <v>182</v>
      </c>
      <c r="M39" s="1">
        <v>37165</v>
      </c>
      <c r="N39">
        <v>24</v>
      </c>
      <c r="O39">
        <v>1</v>
      </c>
      <c r="P39" t="s">
        <v>183</v>
      </c>
      <c r="Q39" t="s">
        <v>100</v>
      </c>
      <c r="R39" t="s">
        <v>184</v>
      </c>
      <c r="S39" t="s">
        <v>185</v>
      </c>
      <c r="T39" t="s">
        <v>186</v>
      </c>
      <c r="U39" s="2">
        <v>45958.005360532406</v>
      </c>
      <c r="V39" t="s">
        <v>37</v>
      </c>
      <c r="W39" t="s">
        <v>50</v>
      </c>
      <c r="AD39" t="s">
        <v>187</v>
      </c>
    </row>
    <row r="40" spans="1:30" ht="15" customHeight="1" x14ac:dyDescent="0.25">
      <c r="A40">
        <v>8735</v>
      </c>
      <c r="B40" s="1">
        <v>45633</v>
      </c>
      <c r="C40" t="s">
        <v>830</v>
      </c>
      <c r="D40" t="s">
        <v>157</v>
      </c>
      <c r="E40" s="1">
        <v>45940</v>
      </c>
      <c r="F40" s="1">
        <v>45940</v>
      </c>
      <c r="G40" t="s">
        <v>71</v>
      </c>
      <c r="H40">
        <v>71383717</v>
      </c>
      <c r="I40" t="s">
        <v>230</v>
      </c>
      <c r="J40" t="str">
        <f>IF(
   COUNTIFS(
      $E$2:E40,TRIM(UPPER(E40)),
      $G$2:G40,TRIM(UPPER(G40)),
      $C$2:C40,TEXT(C40,"aaaa-mm-dd"),
      $I$2:I40,TEXT(I40,"0")
   )&gt;1,
   "Duplicado",
   "Único"
)</f>
        <v>Único</v>
      </c>
      <c r="K40">
        <v>3202009411</v>
      </c>
      <c r="L40" t="s">
        <v>231</v>
      </c>
      <c r="M40" s="1">
        <v>29947</v>
      </c>
      <c r="N40">
        <v>43</v>
      </c>
      <c r="O40" t="s">
        <v>74</v>
      </c>
      <c r="P40" t="s">
        <v>61</v>
      </c>
      <c r="Q40" t="s">
        <v>100</v>
      </c>
      <c r="R40" t="s">
        <v>140</v>
      </c>
      <c r="S40" t="s">
        <v>232</v>
      </c>
      <c r="T40" t="s">
        <v>233</v>
      </c>
      <c r="U40" s="2">
        <v>45633.006511342595</v>
      </c>
      <c r="V40" t="s">
        <v>37</v>
      </c>
      <c r="W40" t="s">
        <v>50</v>
      </c>
      <c r="AD40" s="3" t="s">
        <v>234</v>
      </c>
    </row>
    <row r="41" spans="1:30" ht="15" customHeight="1" x14ac:dyDescent="0.25">
      <c r="A41">
        <v>42983</v>
      </c>
      <c r="B41" s="1">
        <v>45937</v>
      </c>
      <c r="C41" t="s">
        <v>29</v>
      </c>
      <c r="D41" t="s">
        <v>54</v>
      </c>
      <c r="E41" s="1">
        <v>45937</v>
      </c>
      <c r="F41" s="1">
        <v>45937</v>
      </c>
      <c r="G41" t="s">
        <v>42</v>
      </c>
      <c r="H41">
        <v>1044431679</v>
      </c>
      <c r="I41" t="s">
        <v>495</v>
      </c>
      <c r="J41" t="str">
        <f>IF(
   COUNTIFS(
      $E$2:E41,TRIM(UPPER(E41)),
      $G$2:G41,TRIM(UPPER(G41)),
      $C$2:C41,TEXT(C41,"aaaa-mm-dd"),
      $I$2:I41,TEXT(I41,"0")
   )&gt;1,
   "Duplicado",
   "Único"
)</f>
        <v>Único</v>
      </c>
      <c r="K41">
        <v>3136220991</v>
      </c>
      <c r="L41" t="s">
        <v>496</v>
      </c>
      <c r="M41" s="1">
        <v>35144</v>
      </c>
      <c r="N41">
        <v>29</v>
      </c>
      <c r="O41">
        <v>1</v>
      </c>
      <c r="P41" t="s">
        <v>61</v>
      </c>
      <c r="Q41" t="s">
        <v>497</v>
      </c>
      <c r="S41" t="s">
        <v>134</v>
      </c>
      <c r="T41" t="s">
        <v>459</v>
      </c>
      <c r="U41" s="2">
        <v>45937.009936689814</v>
      </c>
      <c r="V41" t="s">
        <v>37</v>
      </c>
      <c r="W41" t="s">
        <v>38</v>
      </c>
      <c r="X41" t="s">
        <v>498</v>
      </c>
      <c r="Y41" t="s">
        <v>163</v>
      </c>
      <c r="AD41" t="s">
        <v>499</v>
      </c>
    </row>
    <row r="42" spans="1:30" ht="15" customHeight="1" x14ac:dyDescent="0.25">
      <c r="A42">
        <v>47228</v>
      </c>
      <c r="B42" s="1">
        <v>45959</v>
      </c>
      <c r="C42" t="s">
        <v>57</v>
      </c>
      <c r="D42" t="s">
        <v>828</v>
      </c>
      <c r="E42" s="1">
        <v>45959</v>
      </c>
      <c r="F42" s="1">
        <v>45959</v>
      </c>
      <c r="G42" t="s">
        <v>57</v>
      </c>
      <c r="H42">
        <v>1042349287</v>
      </c>
      <c r="I42" t="s">
        <v>637</v>
      </c>
      <c r="J42" t="str">
        <f>IF(
   COUNTIFS(
      $E$2:E42,TRIM(UPPER(E42)),
      $G$2:G42,TRIM(UPPER(G42)),
      $C$2:C42,TEXT(C42,"aaaa-mm-dd"),
      $I$2:I42,TEXT(I42,"0")
   )&gt;1,
   "Duplicado",
   "Único"
)</f>
        <v>Único</v>
      </c>
      <c r="K42">
        <v>3006017603</v>
      </c>
      <c r="L42" t="s">
        <v>638</v>
      </c>
      <c r="M42" s="1">
        <v>32358</v>
      </c>
      <c r="N42">
        <v>37</v>
      </c>
      <c r="O42">
        <v>1</v>
      </c>
      <c r="P42" t="s">
        <v>61</v>
      </c>
      <c r="Q42" t="s">
        <v>639</v>
      </c>
      <c r="R42" t="s">
        <v>640</v>
      </c>
      <c r="S42" t="s">
        <v>325</v>
      </c>
      <c r="T42" t="s">
        <v>641</v>
      </c>
      <c r="U42" s="2">
        <v>45959.007988541664</v>
      </c>
      <c r="V42" t="s">
        <v>37</v>
      </c>
      <c r="W42" t="s">
        <v>38</v>
      </c>
      <c r="X42" t="s">
        <v>268</v>
      </c>
    </row>
    <row r="43" spans="1:30" ht="15" customHeight="1" x14ac:dyDescent="0.25">
      <c r="A43">
        <v>46751</v>
      </c>
      <c r="B43" s="1">
        <v>45957</v>
      </c>
      <c r="C43" t="s">
        <v>29</v>
      </c>
      <c r="D43" t="s">
        <v>828</v>
      </c>
      <c r="E43" s="1">
        <v>45957</v>
      </c>
      <c r="F43" s="1">
        <v>45957</v>
      </c>
      <c r="G43" t="s">
        <v>42</v>
      </c>
      <c r="H43">
        <v>1082856791</v>
      </c>
      <c r="I43" t="s">
        <v>598</v>
      </c>
      <c r="J43" t="str">
        <f>IF(
   COUNTIFS(
      $E$2:E43,TRIM(UPPER(E43)),
      $G$2:G43,TRIM(UPPER(G43)),
      $C$2:C43,TEXT(C43,"aaaa-mm-dd"),
      $I$2:I43,TEXT(I43,"0")
   )&gt;1,
   "Duplicado",
   "Único"
)</f>
        <v>Único</v>
      </c>
      <c r="K43">
        <v>3106926875</v>
      </c>
      <c r="L43" t="s">
        <v>599</v>
      </c>
      <c r="M43" s="1">
        <v>31860</v>
      </c>
      <c r="N43">
        <v>38</v>
      </c>
      <c r="O43">
        <v>1</v>
      </c>
      <c r="P43" t="s">
        <v>321</v>
      </c>
      <c r="Q43" t="s">
        <v>600</v>
      </c>
      <c r="R43" t="s">
        <v>601</v>
      </c>
      <c r="S43" t="s">
        <v>602</v>
      </c>
      <c r="T43" t="s">
        <v>603</v>
      </c>
      <c r="U43" s="2">
        <v>45957.007373032407</v>
      </c>
      <c r="V43" t="s">
        <v>37</v>
      </c>
      <c r="W43" t="s">
        <v>89</v>
      </c>
      <c r="X43" s="3" t="s">
        <v>604</v>
      </c>
      <c r="AD43" t="s">
        <v>605</v>
      </c>
    </row>
    <row r="44" spans="1:30" ht="15" customHeight="1" x14ac:dyDescent="0.25">
      <c r="A44">
        <v>46126</v>
      </c>
      <c r="B44" s="1">
        <v>45953</v>
      </c>
      <c r="C44" t="s">
        <v>156</v>
      </c>
      <c r="D44" t="s">
        <v>828</v>
      </c>
      <c r="E44" s="1">
        <v>45955</v>
      </c>
      <c r="F44" s="1">
        <v>45955</v>
      </c>
      <c r="G44" t="s">
        <v>606</v>
      </c>
      <c r="H44">
        <v>1082856791</v>
      </c>
      <c r="I44" t="s">
        <v>598</v>
      </c>
      <c r="J44" t="str">
        <f>IF(
   COUNTIFS(
      $E$2:E44,TRIM(UPPER(E44)),
      $G$2:G44,TRIM(UPPER(G44)),
      $C$2:C44,TEXT(C44,"aaaa-mm-dd"),
      $I$2:I44,TEXT(I44,"0")
   )&gt;1,
   "Duplicado",
   "Único"
)</f>
        <v>Único</v>
      </c>
      <c r="K44">
        <v>3106926875</v>
      </c>
      <c r="L44" t="s">
        <v>599</v>
      </c>
      <c r="M44" s="1">
        <v>31860</v>
      </c>
      <c r="N44">
        <v>38</v>
      </c>
      <c r="O44">
        <v>1</v>
      </c>
      <c r="P44" t="s">
        <v>321</v>
      </c>
      <c r="Q44" t="s">
        <v>600</v>
      </c>
      <c r="R44" t="s">
        <v>601</v>
      </c>
      <c r="S44" t="s">
        <v>602</v>
      </c>
      <c r="T44" t="s">
        <v>603</v>
      </c>
      <c r="U44" s="2">
        <v>45953.008869097219</v>
      </c>
      <c r="V44" t="s">
        <v>37</v>
      </c>
      <c r="W44" t="s">
        <v>89</v>
      </c>
      <c r="AD44" t="s">
        <v>607</v>
      </c>
    </row>
    <row r="45" spans="1:30" ht="15" customHeight="1" x14ac:dyDescent="0.25">
      <c r="A45">
        <v>45626</v>
      </c>
      <c r="B45" s="1">
        <v>45951</v>
      </c>
      <c r="C45" t="s">
        <v>57</v>
      </c>
      <c r="D45" t="s">
        <v>828</v>
      </c>
      <c r="E45" s="1">
        <v>45951</v>
      </c>
      <c r="F45" s="1">
        <v>45951</v>
      </c>
      <c r="G45" t="s">
        <v>57</v>
      </c>
      <c r="H45">
        <v>1082856791</v>
      </c>
      <c r="I45" t="s">
        <v>598</v>
      </c>
      <c r="J45" t="str">
        <f>IF(
   COUNTIFS(
      $E$2:E45,TRIM(UPPER(E45)),
      $G$2:G45,TRIM(UPPER(G45)),
      $C$2:C45,TEXT(C45,"aaaa-mm-dd"),
      $I$2:I45,TEXT(I45,"0")
   )&gt;1,
   "Duplicado",
   "Único"
)</f>
        <v>Único</v>
      </c>
      <c r="K45">
        <v>3106926875</v>
      </c>
      <c r="L45" t="s">
        <v>599</v>
      </c>
      <c r="M45" s="1">
        <v>31860</v>
      </c>
      <c r="N45">
        <v>38</v>
      </c>
      <c r="O45">
        <v>1</v>
      </c>
      <c r="P45" t="s">
        <v>321</v>
      </c>
      <c r="Q45" t="s">
        <v>600</v>
      </c>
      <c r="R45" t="s">
        <v>601</v>
      </c>
      <c r="S45" t="s">
        <v>602</v>
      </c>
      <c r="T45" t="s">
        <v>603</v>
      </c>
      <c r="U45" s="2">
        <v>45951.008125810185</v>
      </c>
      <c r="V45" t="s">
        <v>37</v>
      </c>
      <c r="W45" t="s">
        <v>89</v>
      </c>
      <c r="X45" s="3" t="s">
        <v>604</v>
      </c>
      <c r="AD45" t="s">
        <v>608</v>
      </c>
    </row>
    <row r="46" spans="1:30" ht="15" customHeight="1" x14ac:dyDescent="0.25">
      <c r="A46">
        <v>45613</v>
      </c>
      <c r="B46" s="1">
        <v>45951</v>
      </c>
      <c r="C46" t="s">
        <v>276</v>
      </c>
      <c r="D46" t="s">
        <v>54</v>
      </c>
      <c r="E46" s="1">
        <v>45957</v>
      </c>
      <c r="F46" s="1">
        <v>45957</v>
      </c>
      <c r="G46" t="s">
        <v>277</v>
      </c>
      <c r="H46">
        <v>1140879975</v>
      </c>
      <c r="I46" t="s">
        <v>788</v>
      </c>
      <c r="J46" t="str">
        <f>IF(
   COUNTIFS(
      $E$2:E46,TRIM(UPPER(E46)),
      $G$2:G46,TRIM(UPPER(G46)),
      $C$2:C46,TEXT(C46,"aaaa-mm-dd"),
      $I$2:I46,TEXT(I46,"0")
   )&gt;1,
   "Duplicado",
   "Único"
)</f>
        <v>Único</v>
      </c>
      <c r="K46">
        <v>3008800977</v>
      </c>
      <c r="L46" t="s">
        <v>789</v>
      </c>
      <c r="M46" s="1">
        <v>34946</v>
      </c>
      <c r="N46">
        <v>30</v>
      </c>
      <c r="O46">
        <v>1</v>
      </c>
      <c r="P46" t="s">
        <v>61</v>
      </c>
      <c r="Q46" t="s">
        <v>110</v>
      </c>
      <c r="R46" t="s">
        <v>479</v>
      </c>
      <c r="S46" t="s">
        <v>790</v>
      </c>
      <c r="T46" t="s">
        <v>791</v>
      </c>
      <c r="U46" s="2">
        <v>45951.007754745369</v>
      </c>
      <c r="V46" t="s">
        <v>37</v>
      </c>
      <c r="W46" t="s">
        <v>89</v>
      </c>
      <c r="AD46" t="s">
        <v>792</v>
      </c>
    </row>
    <row r="47" spans="1:30" ht="15" customHeight="1" x14ac:dyDescent="0.25">
      <c r="A47">
        <v>42757</v>
      </c>
      <c r="B47" s="1">
        <v>45936</v>
      </c>
      <c r="C47" t="s">
        <v>29</v>
      </c>
      <c r="D47" t="s">
        <v>828</v>
      </c>
      <c r="E47" s="1">
        <v>45937</v>
      </c>
      <c r="F47" s="1">
        <v>45937</v>
      </c>
      <c r="G47" t="s">
        <v>30</v>
      </c>
      <c r="H47">
        <v>6034206</v>
      </c>
      <c r="I47" t="s">
        <v>436</v>
      </c>
      <c r="J47" t="str">
        <f>IF(
   COUNTIFS(
      $E$2:E47,TRIM(UPPER(E47)),
      $G$2:G47,TRIM(UPPER(G47)),
      $C$2:C47,TEXT(C47,"aaaa-mm-dd"),
      $I$2:I47,TEXT(I47,"0")
   )&gt;1,
   "Duplicado",
   "Único"
)</f>
        <v>Único</v>
      </c>
      <c r="K47">
        <v>3115460461</v>
      </c>
      <c r="L47" t="s">
        <v>437</v>
      </c>
      <c r="M47" s="1">
        <v>31587</v>
      </c>
      <c r="N47">
        <v>39</v>
      </c>
      <c r="O47">
        <v>1</v>
      </c>
      <c r="P47" t="s">
        <v>321</v>
      </c>
      <c r="Q47" t="s">
        <v>438</v>
      </c>
      <c r="R47" t="s">
        <v>439</v>
      </c>
      <c r="S47" t="s">
        <v>440</v>
      </c>
      <c r="T47" t="s">
        <v>441</v>
      </c>
      <c r="U47" s="2">
        <v>45936.010545370373</v>
      </c>
      <c r="V47" t="s">
        <v>37</v>
      </c>
      <c r="W47" t="s">
        <v>38</v>
      </c>
      <c r="X47" t="s">
        <v>268</v>
      </c>
      <c r="Y47" t="s">
        <v>67</v>
      </c>
      <c r="Z47" t="s">
        <v>68</v>
      </c>
      <c r="AA47" t="s">
        <v>68</v>
      </c>
      <c r="AB47" t="s">
        <v>68</v>
      </c>
      <c r="AC47" t="s">
        <v>68</v>
      </c>
      <c r="AD47" t="s">
        <v>442</v>
      </c>
    </row>
    <row r="48" spans="1:30" ht="15" customHeight="1" x14ac:dyDescent="0.25">
      <c r="A48">
        <v>40702</v>
      </c>
      <c r="B48" s="1">
        <v>45929</v>
      </c>
      <c r="C48" t="s">
        <v>29</v>
      </c>
      <c r="D48" t="s">
        <v>70</v>
      </c>
      <c r="E48" s="1">
        <v>45946</v>
      </c>
      <c r="F48" s="1">
        <v>45946</v>
      </c>
      <c r="G48" t="s">
        <v>30</v>
      </c>
      <c r="H48">
        <v>6034206</v>
      </c>
      <c r="I48" t="s">
        <v>436</v>
      </c>
      <c r="J48" t="str">
        <f>IF(
   COUNTIFS(
      $E$2:E48,TRIM(UPPER(E48)),
      $G$2:G48,TRIM(UPPER(G48)),
      $C$2:C48,TEXT(C48,"aaaa-mm-dd"),
      $I$2:I48,TEXT(I48,"0")
   )&gt;1,
   "Duplicado",
   "Único"
)</f>
        <v>Único</v>
      </c>
      <c r="K48">
        <v>3115460461</v>
      </c>
      <c r="L48" t="s">
        <v>437</v>
      </c>
      <c r="M48" s="1">
        <v>31587</v>
      </c>
      <c r="N48">
        <v>39</v>
      </c>
      <c r="O48">
        <v>1</v>
      </c>
      <c r="P48" t="s">
        <v>321</v>
      </c>
      <c r="Q48" t="s">
        <v>438</v>
      </c>
      <c r="R48" t="s">
        <v>439</v>
      </c>
      <c r="S48" t="s">
        <v>440</v>
      </c>
      <c r="T48" t="s">
        <v>441</v>
      </c>
      <c r="U48" s="2">
        <v>45929.006323611109</v>
      </c>
      <c r="V48" t="s">
        <v>37</v>
      </c>
      <c r="W48" t="s">
        <v>38</v>
      </c>
      <c r="X48" t="s">
        <v>268</v>
      </c>
      <c r="Y48" t="s">
        <v>67</v>
      </c>
      <c r="Z48" t="s">
        <v>68</v>
      </c>
      <c r="AA48" t="s">
        <v>68</v>
      </c>
      <c r="AB48" t="s">
        <v>68</v>
      </c>
      <c r="AC48" t="s">
        <v>68</v>
      </c>
      <c r="AD48" t="s">
        <v>443</v>
      </c>
    </row>
    <row r="49" spans="1:30" ht="15" customHeight="1" x14ac:dyDescent="0.25">
      <c r="A49">
        <v>40251</v>
      </c>
      <c r="B49" s="1">
        <v>45925</v>
      </c>
      <c r="C49" t="s">
        <v>276</v>
      </c>
      <c r="D49" t="s">
        <v>157</v>
      </c>
      <c r="E49" s="1">
        <v>45940</v>
      </c>
      <c r="F49" s="1">
        <v>45940</v>
      </c>
      <c r="G49" t="s">
        <v>277</v>
      </c>
      <c r="H49">
        <v>6034206</v>
      </c>
      <c r="I49" t="s">
        <v>436</v>
      </c>
      <c r="J49" t="str">
        <f>IF(
   COUNTIFS(
      $E$2:E49,TRIM(UPPER(E49)),
      $G$2:G49,TRIM(UPPER(G49)),
      $C$2:C49,TEXT(C49,"aaaa-mm-dd"),
      $I$2:I49,TEXT(I49,"0")
   )&gt;1,
   "Duplicado",
   "Único"
)</f>
        <v>Único</v>
      </c>
      <c r="K49">
        <v>3115460461</v>
      </c>
      <c r="L49" t="s">
        <v>437</v>
      </c>
      <c r="M49" s="1">
        <v>31587</v>
      </c>
      <c r="N49">
        <v>39</v>
      </c>
      <c r="O49">
        <v>1</v>
      </c>
      <c r="P49" t="s">
        <v>321</v>
      </c>
      <c r="Q49" t="s">
        <v>438</v>
      </c>
      <c r="R49" t="s">
        <v>439</v>
      </c>
      <c r="S49" t="s">
        <v>440</v>
      </c>
      <c r="T49" t="s">
        <v>441</v>
      </c>
      <c r="U49" s="2">
        <v>45925.007805092595</v>
      </c>
      <c r="V49" t="s">
        <v>37</v>
      </c>
      <c r="W49" t="s">
        <v>116</v>
      </c>
      <c r="AD49" t="s">
        <v>444</v>
      </c>
    </row>
    <row r="50" spans="1:30" ht="15" customHeight="1" x14ac:dyDescent="0.25">
      <c r="A50">
        <v>46738</v>
      </c>
      <c r="B50" s="1">
        <v>45957</v>
      </c>
      <c r="C50" t="s">
        <v>53</v>
      </c>
      <c r="D50" t="s">
        <v>828</v>
      </c>
      <c r="E50" s="1">
        <v>45957</v>
      </c>
      <c r="F50" s="1">
        <v>45957</v>
      </c>
      <c r="G50" t="s">
        <v>91</v>
      </c>
      <c r="H50">
        <v>1047216149</v>
      </c>
      <c r="I50" t="s">
        <v>215</v>
      </c>
      <c r="J50" t="str">
        <f>IF(
   COUNTIFS(
      $E$2:E50,TRIM(UPPER(E50)),
      $G$2:G50,TRIM(UPPER(G50)),
      $C$2:C50,TEXT(C50,"aaaa-mm-dd"),
      $I$2:I50,TEXT(I50,"0")
   )&gt;1,
   "Duplicado",
   "Único"
)</f>
        <v>Único</v>
      </c>
      <c r="K50">
        <v>3165300482</v>
      </c>
      <c r="L50" t="s">
        <v>216</v>
      </c>
      <c r="M50" s="1">
        <v>31651</v>
      </c>
      <c r="N50">
        <v>39</v>
      </c>
      <c r="O50">
        <v>1</v>
      </c>
      <c r="P50" t="s">
        <v>183</v>
      </c>
      <c r="Q50" t="s">
        <v>217</v>
      </c>
      <c r="S50" t="s">
        <v>218</v>
      </c>
      <c r="T50" t="s">
        <v>219</v>
      </c>
      <c r="U50" s="2">
        <v>45957.006506365738</v>
      </c>
      <c r="V50" t="s">
        <v>37</v>
      </c>
      <c r="W50" t="s">
        <v>89</v>
      </c>
      <c r="AD50" t="s">
        <v>220</v>
      </c>
    </row>
    <row r="51" spans="1:30" ht="15" customHeight="1" x14ac:dyDescent="0.25">
      <c r="A51">
        <v>45242</v>
      </c>
      <c r="B51" s="1">
        <v>45950</v>
      </c>
      <c r="C51" t="s">
        <v>53</v>
      </c>
      <c r="D51" t="s">
        <v>81</v>
      </c>
      <c r="E51" s="1">
        <v>45950</v>
      </c>
      <c r="F51" s="1">
        <v>45950</v>
      </c>
      <c r="G51" t="s">
        <v>82</v>
      </c>
      <c r="H51">
        <v>1047216149</v>
      </c>
      <c r="I51" t="s">
        <v>215</v>
      </c>
      <c r="J51" t="str">
        <f>IF(
   COUNTIFS(
      $E$2:E51,TRIM(UPPER(E51)),
      $G$2:G51,TRIM(UPPER(G51)),
      $C$2:C51,TEXT(C51,"aaaa-mm-dd"),
      $I$2:I51,TEXT(I51,"0")
   )&gt;1,
   "Duplicado",
   "Único"
)</f>
        <v>Único</v>
      </c>
      <c r="K51">
        <v>3165300482</v>
      </c>
      <c r="L51" t="s">
        <v>216</v>
      </c>
      <c r="M51" s="1">
        <v>31651</v>
      </c>
      <c r="N51">
        <v>39</v>
      </c>
      <c r="O51">
        <v>1</v>
      </c>
      <c r="P51" t="s">
        <v>183</v>
      </c>
      <c r="Q51" t="s">
        <v>217</v>
      </c>
      <c r="S51" t="s">
        <v>218</v>
      </c>
      <c r="T51" t="s">
        <v>219</v>
      </c>
      <c r="U51" s="2">
        <v>45950.00712962963</v>
      </c>
      <c r="V51" t="s">
        <v>37</v>
      </c>
      <c r="W51" t="s">
        <v>89</v>
      </c>
      <c r="AD51" t="s">
        <v>221</v>
      </c>
    </row>
    <row r="52" spans="1:30" ht="15" customHeight="1" x14ac:dyDescent="0.25">
      <c r="A52">
        <v>45241</v>
      </c>
      <c r="B52" s="1">
        <v>45950</v>
      </c>
      <c r="C52" t="s">
        <v>53</v>
      </c>
      <c r="D52" t="s">
        <v>70</v>
      </c>
      <c r="E52" s="1">
        <v>45950</v>
      </c>
      <c r="F52" s="1">
        <v>45950</v>
      </c>
      <c r="G52" t="s">
        <v>145</v>
      </c>
      <c r="H52">
        <v>1047216149</v>
      </c>
      <c r="I52" t="s">
        <v>215</v>
      </c>
      <c r="J52" t="str">
        <f>IF(
   COUNTIFS(
      $E$2:E52,TRIM(UPPER(E52)),
      $G$2:G52,TRIM(UPPER(G52)),
      $C$2:C52,TEXT(C52,"aaaa-mm-dd"),
      $I$2:I52,TEXT(I52,"0")
   )&gt;1,
   "Duplicado",
   "Único"
)</f>
        <v>Único</v>
      </c>
      <c r="K52">
        <v>3165300482</v>
      </c>
      <c r="L52" t="s">
        <v>216</v>
      </c>
      <c r="M52" s="1">
        <v>31651</v>
      </c>
      <c r="N52">
        <v>39</v>
      </c>
      <c r="O52">
        <v>1</v>
      </c>
      <c r="P52" t="s">
        <v>183</v>
      </c>
      <c r="Q52" t="s">
        <v>217</v>
      </c>
      <c r="S52" t="s">
        <v>218</v>
      </c>
      <c r="T52" t="s">
        <v>219</v>
      </c>
      <c r="U52" s="2">
        <v>45950.007120601855</v>
      </c>
      <c r="V52" t="s">
        <v>37</v>
      </c>
      <c r="W52" t="s">
        <v>89</v>
      </c>
      <c r="AD52" t="s">
        <v>222</v>
      </c>
    </row>
    <row r="53" spans="1:30" ht="15" customHeight="1" x14ac:dyDescent="0.25">
      <c r="A53">
        <v>44123</v>
      </c>
      <c r="B53" s="1">
        <v>45944</v>
      </c>
      <c r="C53" t="s">
        <v>57</v>
      </c>
      <c r="D53" t="s">
        <v>70</v>
      </c>
      <c r="E53" s="1">
        <v>45946</v>
      </c>
      <c r="F53" s="1">
        <v>45946</v>
      </c>
      <c r="G53" t="s">
        <v>57</v>
      </c>
      <c r="H53">
        <v>1083028686</v>
      </c>
      <c r="I53" t="s">
        <v>812</v>
      </c>
      <c r="J53" t="str">
        <f>IF(
   COUNTIFS(
      $E$2:E53,TRIM(UPPER(E53)),
      $G$2:G53,TRIM(UPPER(G53)),
      $C$2:C53,TEXT(C53,"aaaa-mm-dd"),
      $I$2:I53,TEXT(I53,"0")
   )&gt;1,
   "Duplicado",
   "Único"
)</f>
        <v>Único</v>
      </c>
      <c r="K53">
        <v>3245666423</v>
      </c>
      <c r="L53" t="s">
        <v>813</v>
      </c>
      <c r="P53" t="s">
        <v>99</v>
      </c>
      <c r="Q53" t="s">
        <v>814</v>
      </c>
      <c r="R53" t="s">
        <v>580</v>
      </c>
      <c r="S53" t="s">
        <v>815</v>
      </c>
      <c r="T53" t="s">
        <v>816</v>
      </c>
      <c r="U53" s="2">
        <v>45944.010292013889</v>
      </c>
      <c r="V53" t="s">
        <v>37</v>
      </c>
      <c r="W53" t="s">
        <v>116</v>
      </c>
      <c r="AD53" t="s">
        <v>817</v>
      </c>
    </row>
    <row r="54" spans="1:30" ht="15" customHeight="1" x14ac:dyDescent="0.25">
      <c r="A54">
        <v>40938</v>
      </c>
      <c r="B54" s="1">
        <v>45930</v>
      </c>
      <c r="C54" t="s">
        <v>29</v>
      </c>
      <c r="D54" t="s">
        <v>157</v>
      </c>
      <c r="E54" s="1">
        <v>45931</v>
      </c>
      <c r="F54" s="1">
        <v>45931</v>
      </c>
      <c r="G54" t="s">
        <v>30</v>
      </c>
      <c r="H54">
        <v>1020749562</v>
      </c>
      <c r="I54" t="s">
        <v>735</v>
      </c>
      <c r="J54" t="str">
        <f>IF(
   COUNTIFS(
      $E$2:E54,TRIM(UPPER(E54)),
      $G$2:G54,TRIM(UPPER(G54)),
      $C$2:C54,TEXT(C54,"aaaa-mm-dd"),
      $I$2:I54,TEXT(I54,"0")
   )&gt;1,
   "Duplicado",
   "Único"
)</f>
        <v>Único</v>
      </c>
      <c r="K54">
        <v>5580314364</v>
      </c>
      <c r="L54" t="s">
        <v>736</v>
      </c>
      <c r="M54" s="1">
        <v>32905</v>
      </c>
      <c r="N54">
        <v>35</v>
      </c>
      <c r="P54" t="s">
        <v>99</v>
      </c>
      <c r="Q54" t="s">
        <v>737</v>
      </c>
      <c r="R54" t="s">
        <v>110</v>
      </c>
      <c r="S54" t="s">
        <v>738</v>
      </c>
      <c r="T54" t="s">
        <v>739</v>
      </c>
      <c r="U54" s="2">
        <v>45930.007908796295</v>
      </c>
      <c r="V54" t="s">
        <v>79</v>
      </c>
      <c r="W54" t="s">
        <v>38</v>
      </c>
      <c r="AD54" t="s">
        <v>740</v>
      </c>
    </row>
    <row r="55" spans="1:30" ht="15" customHeight="1" x14ac:dyDescent="0.25">
      <c r="A55">
        <v>44081</v>
      </c>
      <c r="B55" s="1">
        <v>45944</v>
      </c>
      <c r="C55" t="s">
        <v>57</v>
      </c>
      <c r="D55" t="s">
        <v>54</v>
      </c>
      <c r="E55" s="1">
        <v>45948</v>
      </c>
      <c r="F55" s="1">
        <v>45948</v>
      </c>
      <c r="G55" t="s">
        <v>57</v>
      </c>
      <c r="H55">
        <v>1082958140</v>
      </c>
      <c r="I55" t="s">
        <v>775</v>
      </c>
      <c r="J55" t="str">
        <f>IF(
   COUNTIFS(
      $E$2:E55,TRIM(UPPER(E55)),
      $G$2:G55,TRIM(UPPER(G55)),
      $C$2:C55,TEXT(C55,"aaaa-mm-dd"),
      $I$2:I55,TEXT(I55,"0")
   )&gt;1,
   "Duplicado",
   "Único"
)</f>
        <v>Único</v>
      </c>
      <c r="K55">
        <v>3103697878</v>
      </c>
      <c r="L55" t="s">
        <v>776</v>
      </c>
      <c r="P55" t="s">
        <v>183</v>
      </c>
      <c r="Q55" t="s">
        <v>286</v>
      </c>
      <c r="R55" t="s">
        <v>777</v>
      </c>
      <c r="S55" t="s">
        <v>778</v>
      </c>
      <c r="T55" t="s">
        <v>618</v>
      </c>
      <c r="U55" s="2">
        <v>45944.009020254627</v>
      </c>
      <c r="V55" t="s">
        <v>37</v>
      </c>
      <c r="W55" t="s">
        <v>136</v>
      </c>
      <c r="AD55" t="s">
        <v>365</v>
      </c>
    </row>
    <row r="56" spans="1:30" ht="15" customHeight="1" x14ac:dyDescent="0.25">
      <c r="A56">
        <v>41364</v>
      </c>
      <c r="B56" s="1">
        <v>45931</v>
      </c>
      <c r="C56" t="s">
        <v>53</v>
      </c>
      <c r="D56" t="s">
        <v>81</v>
      </c>
      <c r="E56" s="1">
        <v>45936</v>
      </c>
      <c r="F56" s="1">
        <v>45936</v>
      </c>
      <c r="G56" t="s">
        <v>82</v>
      </c>
      <c r="H56">
        <v>1090385674</v>
      </c>
      <c r="I56" t="s">
        <v>678</v>
      </c>
      <c r="J56" t="str">
        <f>IF(
   COUNTIFS(
      $E$2:E56,TRIM(UPPER(E56)),
      $G$2:G56,TRIM(UPPER(G56)),
      $C$2:C56,TEXT(C56,"aaaa-mm-dd"),
      $I$2:I56,TEXT(I56,"0")
   )&gt;1,
   "Duplicado",
   "Único"
)</f>
        <v>Único</v>
      </c>
      <c r="K56">
        <v>3205208472</v>
      </c>
      <c r="L56" t="s">
        <v>679</v>
      </c>
      <c r="M56" s="1">
        <v>32038</v>
      </c>
      <c r="N56">
        <v>38</v>
      </c>
      <c r="O56">
        <v>1</v>
      </c>
      <c r="P56" t="s">
        <v>183</v>
      </c>
      <c r="Q56" t="s">
        <v>286</v>
      </c>
      <c r="R56" t="s">
        <v>680</v>
      </c>
      <c r="S56" t="s">
        <v>403</v>
      </c>
      <c r="T56" t="s">
        <v>668</v>
      </c>
      <c r="U56" s="2">
        <v>45931.010070601849</v>
      </c>
      <c r="V56" t="s">
        <v>37</v>
      </c>
      <c r="W56" t="s">
        <v>94</v>
      </c>
      <c r="AD56" t="s">
        <v>681</v>
      </c>
    </row>
    <row r="57" spans="1:30" ht="15" customHeight="1" x14ac:dyDescent="0.25">
      <c r="A57">
        <v>40380</v>
      </c>
      <c r="B57" s="1">
        <v>45926</v>
      </c>
      <c r="C57" t="s">
        <v>29</v>
      </c>
      <c r="D57" t="s">
        <v>70</v>
      </c>
      <c r="E57" s="1">
        <v>45936</v>
      </c>
      <c r="F57" s="1">
        <v>45936</v>
      </c>
      <c r="G57" t="s">
        <v>30</v>
      </c>
      <c r="H57">
        <v>1090385674</v>
      </c>
      <c r="I57" t="s">
        <v>678</v>
      </c>
      <c r="J57" t="str">
        <f>IF(
   COUNTIFS(
      $E$2:E57,TRIM(UPPER(E57)),
      $G$2:G57,TRIM(UPPER(G57)),
      $C$2:C57,TEXT(C57,"aaaa-mm-dd"),
      $I$2:I57,TEXT(I57,"0")
   )&gt;1,
   "Duplicado",
   "Único"
)</f>
        <v>Único</v>
      </c>
      <c r="K57">
        <v>3205208472</v>
      </c>
      <c r="L57" t="s">
        <v>679</v>
      </c>
      <c r="M57" s="1">
        <v>32038</v>
      </c>
      <c r="N57">
        <v>38</v>
      </c>
      <c r="O57">
        <v>1</v>
      </c>
      <c r="P57" t="s">
        <v>183</v>
      </c>
      <c r="Q57" t="s">
        <v>286</v>
      </c>
      <c r="R57" t="s">
        <v>680</v>
      </c>
      <c r="S57" t="s">
        <v>403</v>
      </c>
      <c r="T57" t="s">
        <v>668</v>
      </c>
      <c r="U57" s="2">
        <v>45926.006400925929</v>
      </c>
      <c r="V57" t="s">
        <v>37</v>
      </c>
      <c r="W57" t="s">
        <v>94</v>
      </c>
      <c r="X57" t="s">
        <v>66</v>
      </c>
      <c r="Y57" t="s">
        <v>67</v>
      </c>
      <c r="Z57" t="s">
        <v>68</v>
      </c>
      <c r="AA57" t="s">
        <v>68</v>
      </c>
      <c r="AB57" t="s">
        <v>68</v>
      </c>
      <c r="AC57" t="s">
        <v>68</v>
      </c>
      <c r="AD57" t="s">
        <v>682</v>
      </c>
    </row>
    <row r="58" spans="1:30" ht="15" customHeight="1" x14ac:dyDescent="0.25">
      <c r="A58">
        <v>43358</v>
      </c>
      <c r="B58" s="1">
        <v>45939</v>
      </c>
      <c r="C58" t="s">
        <v>53</v>
      </c>
      <c r="D58" t="s">
        <v>81</v>
      </c>
      <c r="E58" s="1">
        <v>45944</v>
      </c>
      <c r="F58" s="1">
        <v>45944</v>
      </c>
      <c r="G58" t="s">
        <v>82</v>
      </c>
      <c r="H58">
        <v>1090385674</v>
      </c>
      <c r="I58" t="s">
        <v>678</v>
      </c>
      <c r="J58" t="str">
        <f>IF(
   COUNTIFS(
      $E$2:E58,TRIM(UPPER(E58)),
      $G$2:G58,TRIM(UPPER(G58)),
      $C$2:C58,TEXT(C58,"aaaa-mm-dd"),
      $I$2:I58,TEXT(I58,"0")
   )&gt;1,
   "Duplicado",
   "Único"
)</f>
        <v>Único</v>
      </c>
      <c r="K58">
        <v>3205208472</v>
      </c>
      <c r="L58" t="s">
        <v>679</v>
      </c>
      <c r="M58" s="1">
        <v>32038</v>
      </c>
      <c r="N58">
        <v>38</v>
      </c>
      <c r="O58">
        <v>1</v>
      </c>
      <c r="P58" t="s">
        <v>183</v>
      </c>
      <c r="Q58" t="s">
        <v>286</v>
      </c>
      <c r="R58" t="s">
        <v>680</v>
      </c>
      <c r="S58" t="s">
        <v>403</v>
      </c>
      <c r="T58" t="s">
        <v>668</v>
      </c>
      <c r="U58" s="2">
        <v>45939.008106944442</v>
      </c>
      <c r="V58" t="s">
        <v>37</v>
      </c>
      <c r="W58" t="s">
        <v>38</v>
      </c>
      <c r="AD58" t="s">
        <v>683</v>
      </c>
    </row>
    <row r="59" spans="1:30" ht="15" customHeight="1" x14ac:dyDescent="0.25">
      <c r="A59">
        <v>43354</v>
      </c>
      <c r="B59" s="1">
        <v>45939</v>
      </c>
      <c r="C59" t="s">
        <v>29</v>
      </c>
      <c r="D59" t="s">
        <v>70</v>
      </c>
      <c r="E59" s="1">
        <v>45944</v>
      </c>
      <c r="F59" s="1">
        <v>45944</v>
      </c>
      <c r="G59" t="s">
        <v>30</v>
      </c>
      <c r="H59">
        <v>1090385674</v>
      </c>
      <c r="I59" t="s">
        <v>678</v>
      </c>
      <c r="J59" t="str">
        <f>IF(
   COUNTIFS(
      $E$2:E59,TRIM(UPPER(E59)),
      $G$2:G59,TRIM(UPPER(G59)),
      $C$2:C59,TEXT(C59,"aaaa-mm-dd"),
      $I$2:I59,TEXT(I59,"0")
   )&gt;1,
   "Duplicado",
   "Único"
)</f>
        <v>Único</v>
      </c>
      <c r="K59">
        <v>3205208472</v>
      </c>
      <c r="L59" t="s">
        <v>679</v>
      </c>
      <c r="M59" s="1">
        <v>32038</v>
      </c>
      <c r="N59">
        <v>38</v>
      </c>
      <c r="O59">
        <v>1</v>
      </c>
      <c r="P59" t="s">
        <v>183</v>
      </c>
      <c r="Q59" t="s">
        <v>286</v>
      </c>
      <c r="R59" t="s">
        <v>680</v>
      </c>
      <c r="S59" t="s">
        <v>403</v>
      </c>
      <c r="T59" t="s">
        <v>668</v>
      </c>
      <c r="U59" s="2">
        <v>45939.008059259257</v>
      </c>
      <c r="V59" t="s">
        <v>37</v>
      </c>
      <c r="W59" t="s">
        <v>89</v>
      </c>
      <c r="X59" t="s">
        <v>66</v>
      </c>
      <c r="Y59" t="s">
        <v>67</v>
      </c>
      <c r="Z59" t="s">
        <v>68</v>
      </c>
      <c r="AA59" t="s">
        <v>68</v>
      </c>
      <c r="AB59" t="s">
        <v>68</v>
      </c>
      <c r="AC59" t="s">
        <v>68</v>
      </c>
      <c r="AD59" t="s">
        <v>684</v>
      </c>
    </row>
    <row r="60" spans="1:30" ht="15" customHeight="1" x14ac:dyDescent="0.25">
      <c r="A60">
        <v>42734</v>
      </c>
      <c r="B60" s="1">
        <v>45936</v>
      </c>
      <c r="C60" t="s">
        <v>57</v>
      </c>
      <c r="D60" t="s">
        <v>54</v>
      </c>
      <c r="E60" s="1">
        <v>45936</v>
      </c>
      <c r="F60" s="1">
        <v>45936</v>
      </c>
      <c r="G60" t="s">
        <v>57</v>
      </c>
      <c r="H60">
        <v>10017292</v>
      </c>
      <c r="I60" t="s">
        <v>488</v>
      </c>
      <c r="J60" t="str">
        <f>IF(
   COUNTIFS(
      $E$2:E60,TRIM(UPPER(E60)),
      $G$2:G60,TRIM(UPPER(G60)),
      $C$2:C60,TEXT(C60,"aaaa-mm-dd"),
      $I$2:I60,TEXT(I60,"0")
   )&gt;1,
   "Duplicado",
   "Único"
)</f>
        <v>Único</v>
      </c>
      <c r="K60">
        <v>3165252206</v>
      </c>
      <c r="L60" t="s">
        <v>489</v>
      </c>
      <c r="M60" s="1">
        <v>26806</v>
      </c>
      <c r="N60">
        <v>52</v>
      </c>
      <c r="O60">
        <v>1</v>
      </c>
      <c r="P60" t="s">
        <v>99</v>
      </c>
      <c r="Q60" t="s">
        <v>286</v>
      </c>
      <c r="R60" t="s">
        <v>353</v>
      </c>
      <c r="S60" t="s">
        <v>490</v>
      </c>
      <c r="T60" t="s">
        <v>473</v>
      </c>
      <c r="U60" s="2">
        <v>45936.009585300926</v>
      </c>
      <c r="V60" t="s">
        <v>37</v>
      </c>
      <c r="W60" t="s">
        <v>38</v>
      </c>
      <c r="X60" s="3" t="s">
        <v>39</v>
      </c>
      <c r="Y60" t="s">
        <v>40</v>
      </c>
      <c r="Z60" t="s">
        <v>40</v>
      </c>
      <c r="AD60" t="s">
        <v>491</v>
      </c>
    </row>
    <row r="61" spans="1:30" ht="15" customHeight="1" x14ac:dyDescent="0.25">
      <c r="A61">
        <v>44127</v>
      </c>
      <c r="B61" s="1">
        <v>45944</v>
      </c>
      <c r="C61" t="s">
        <v>156</v>
      </c>
      <c r="D61" t="s">
        <v>157</v>
      </c>
      <c r="E61" s="1">
        <v>45945</v>
      </c>
      <c r="F61" s="1">
        <v>45945</v>
      </c>
      <c r="G61" t="s">
        <v>160</v>
      </c>
      <c r="H61">
        <v>10017292</v>
      </c>
      <c r="I61" t="s">
        <v>488</v>
      </c>
      <c r="J61" t="str">
        <f>IF(
   COUNTIFS(
      $E$2:E61,TRIM(UPPER(E61)),
      $G$2:G61,TRIM(UPPER(G61)),
      $C$2:C61,TEXT(C61,"aaaa-mm-dd"),
      $I$2:I61,TEXT(I61,"0")
   )&gt;1,
   "Duplicado",
   "Único"
)</f>
        <v>Único</v>
      </c>
      <c r="K61">
        <v>3165252206</v>
      </c>
      <c r="L61" t="s">
        <v>489</v>
      </c>
      <c r="M61" s="1">
        <v>26806</v>
      </c>
      <c r="N61">
        <v>52</v>
      </c>
      <c r="O61">
        <v>1</v>
      </c>
      <c r="P61" t="s">
        <v>99</v>
      </c>
      <c r="Q61" t="s">
        <v>286</v>
      </c>
      <c r="R61" t="s">
        <v>353</v>
      </c>
      <c r="S61" t="s">
        <v>490</v>
      </c>
      <c r="T61" t="s">
        <v>473</v>
      </c>
      <c r="U61" s="2">
        <v>45944.010324074072</v>
      </c>
      <c r="V61" t="s">
        <v>37</v>
      </c>
      <c r="W61" t="s">
        <v>38</v>
      </c>
      <c r="AD61" t="s">
        <v>492</v>
      </c>
    </row>
    <row r="62" spans="1:30" ht="15" customHeight="1" x14ac:dyDescent="0.25">
      <c r="A62">
        <v>44128</v>
      </c>
      <c r="B62" s="1">
        <v>45944</v>
      </c>
      <c r="C62" t="s">
        <v>156</v>
      </c>
      <c r="D62" t="s">
        <v>157</v>
      </c>
      <c r="E62" s="1">
        <v>45946</v>
      </c>
      <c r="F62" s="1">
        <v>45946</v>
      </c>
      <c r="G62" t="s">
        <v>160</v>
      </c>
      <c r="H62">
        <v>10017292</v>
      </c>
      <c r="I62" t="s">
        <v>488</v>
      </c>
      <c r="J62" t="str">
        <f>IF(
   COUNTIFS(
      $E$2:E62,TRIM(UPPER(E62)),
      $G$2:G62,TRIM(UPPER(G62)),
      $C$2:C62,TEXT(C62,"aaaa-mm-dd"),
      $I$2:I62,TEXT(I62,"0")
   )&gt;1,
   "Duplicado",
   "Único"
)</f>
        <v>Único</v>
      </c>
      <c r="K62">
        <v>3165252206</v>
      </c>
      <c r="L62" t="s">
        <v>489</v>
      </c>
      <c r="M62" s="1">
        <v>26806</v>
      </c>
      <c r="N62">
        <v>52</v>
      </c>
      <c r="O62">
        <v>1</v>
      </c>
      <c r="P62" t="s">
        <v>99</v>
      </c>
      <c r="Q62" t="s">
        <v>286</v>
      </c>
      <c r="R62" t="s">
        <v>353</v>
      </c>
      <c r="S62" t="s">
        <v>490</v>
      </c>
      <c r="T62" t="s">
        <v>473</v>
      </c>
      <c r="U62" s="2">
        <v>45944.010337384258</v>
      </c>
      <c r="V62" t="s">
        <v>37</v>
      </c>
      <c r="W62" t="s">
        <v>89</v>
      </c>
      <c r="AD62" t="s">
        <v>493</v>
      </c>
    </row>
    <row r="63" spans="1:30" ht="15" customHeight="1" x14ac:dyDescent="0.25">
      <c r="A63">
        <v>44194</v>
      </c>
      <c r="B63" s="1">
        <v>45944</v>
      </c>
      <c r="C63" t="s">
        <v>57</v>
      </c>
      <c r="D63" t="s">
        <v>70</v>
      </c>
      <c r="E63" s="1">
        <v>45945</v>
      </c>
      <c r="F63" s="1">
        <v>45945</v>
      </c>
      <c r="G63" t="s">
        <v>57</v>
      </c>
      <c r="H63">
        <v>10017292</v>
      </c>
      <c r="I63" t="s">
        <v>488</v>
      </c>
      <c r="J63" t="str">
        <f>IF(
   COUNTIFS(
      $E$2:E63,TRIM(UPPER(E63)),
      $G$2:G63,TRIM(UPPER(G63)),
      $C$2:C63,TEXT(C63,"aaaa-mm-dd"),
      $I$2:I63,TEXT(I63,"0")
   )&gt;1,
   "Duplicado",
   "Único"
)</f>
        <v>Único</v>
      </c>
      <c r="K63">
        <v>3165252206</v>
      </c>
      <c r="L63" t="s">
        <v>489</v>
      </c>
      <c r="M63" s="1">
        <v>26806</v>
      </c>
      <c r="N63">
        <v>52</v>
      </c>
      <c r="O63">
        <v>1</v>
      </c>
      <c r="P63" t="s">
        <v>99</v>
      </c>
      <c r="Q63" t="s">
        <v>286</v>
      </c>
      <c r="R63" t="s">
        <v>353</v>
      </c>
      <c r="S63" t="s">
        <v>490</v>
      </c>
      <c r="T63" t="s">
        <v>473</v>
      </c>
      <c r="U63" s="2">
        <v>45944.011956828705</v>
      </c>
      <c r="V63" t="s">
        <v>37</v>
      </c>
      <c r="W63" t="s">
        <v>38</v>
      </c>
      <c r="X63" s="3" t="s">
        <v>39</v>
      </c>
      <c r="Y63" t="s">
        <v>40</v>
      </c>
      <c r="Z63" t="s">
        <v>40</v>
      </c>
      <c r="AD63" t="s">
        <v>494</v>
      </c>
    </row>
    <row r="64" spans="1:30" ht="15" customHeight="1" x14ac:dyDescent="0.25">
      <c r="A64">
        <v>43808</v>
      </c>
      <c r="B64" s="1">
        <v>45941</v>
      </c>
      <c r="C64" t="s">
        <v>57</v>
      </c>
      <c r="D64" t="s">
        <v>54</v>
      </c>
      <c r="E64" s="1">
        <v>45950</v>
      </c>
      <c r="F64" s="1">
        <v>45950</v>
      </c>
      <c r="G64" t="s">
        <v>57</v>
      </c>
      <c r="H64">
        <v>107441776</v>
      </c>
      <c r="I64" t="s">
        <v>818</v>
      </c>
      <c r="J64" t="str">
        <f>IF(
   COUNTIFS(
      $E$2:E64,TRIM(UPPER(E64)),
      $G$2:G64,TRIM(UPPER(G64)),
      $C$2:C64,TEXT(C64,"aaaa-mm-dd"),
      $I$2:I64,TEXT(I64,"0")
   )&gt;1,
   "Duplicado",
   "Único"
)</f>
        <v>Único</v>
      </c>
      <c r="K64">
        <v>3112928890</v>
      </c>
      <c r="L64" t="s">
        <v>819</v>
      </c>
      <c r="P64" t="s">
        <v>183</v>
      </c>
      <c r="Q64" t="s">
        <v>151</v>
      </c>
      <c r="S64" t="s">
        <v>820</v>
      </c>
      <c r="U64" s="2">
        <v>45941.008907291667</v>
      </c>
      <c r="V64" t="s">
        <v>37</v>
      </c>
      <c r="W64" t="s">
        <v>421</v>
      </c>
      <c r="AD64" t="s">
        <v>582</v>
      </c>
    </row>
    <row r="65" spans="1:30" ht="15" customHeight="1" x14ac:dyDescent="0.25">
      <c r="A65">
        <v>45985</v>
      </c>
      <c r="B65" s="1">
        <v>45953</v>
      </c>
      <c r="C65" t="s">
        <v>147</v>
      </c>
      <c r="D65" t="s">
        <v>81</v>
      </c>
      <c r="E65" s="1">
        <v>45953</v>
      </c>
      <c r="F65" s="1">
        <v>45953</v>
      </c>
      <c r="G65" t="s">
        <v>148</v>
      </c>
      <c r="H65">
        <v>80014765</v>
      </c>
      <c r="I65" t="s">
        <v>149</v>
      </c>
      <c r="J65" t="str">
        <f>IF(
   COUNTIFS(
      $E$2:E65,TRIM(UPPER(E65)),
      $G$2:G65,TRIM(UPPER(G65)),
      $C$2:C65,TEXT(C65,"aaaa-mm-dd"),
      $I$2:I65,TEXT(I65,"0")
   )&gt;1,
   "Duplicado",
   "Único"
)</f>
        <v>Único</v>
      </c>
      <c r="K65">
        <v>3112000911</v>
      </c>
      <c r="L65" t="s">
        <v>150</v>
      </c>
      <c r="M65" s="1">
        <v>29836</v>
      </c>
      <c r="N65">
        <v>44</v>
      </c>
      <c r="O65">
        <v>1</v>
      </c>
      <c r="P65" t="s">
        <v>61</v>
      </c>
      <c r="Q65" t="s">
        <v>151</v>
      </c>
      <c r="S65" t="s">
        <v>152</v>
      </c>
      <c r="T65" t="s">
        <v>153</v>
      </c>
      <c r="U65" s="2">
        <v>45953.005955787034</v>
      </c>
      <c r="V65" t="s">
        <v>37</v>
      </c>
      <c r="W65" t="s">
        <v>89</v>
      </c>
      <c r="AD65" t="s">
        <v>154</v>
      </c>
    </row>
    <row r="66" spans="1:30" ht="15" customHeight="1" x14ac:dyDescent="0.25">
      <c r="A66">
        <v>45870</v>
      </c>
      <c r="B66" s="1">
        <v>45952</v>
      </c>
      <c r="C66" t="s">
        <v>147</v>
      </c>
      <c r="D66" t="s">
        <v>81</v>
      </c>
      <c r="E66" s="1">
        <v>45952</v>
      </c>
      <c r="F66" s="1">
        <v>45952</v>
      </c>
      <c r="G66" t="s">
        <v>148</v>
      </c>
      <c r="H66">
        <v>80014765</v>
      </c>
      <c r="I66" t="s">
        <v>149</v>
      </c>
      <c r="J66" t="str">
        <f>IF(
   COUNTIFS(
      $E$2:E66,TRIM(UPPER(E66)),
      $G$2:G66,TRIM(UPPER(G66)),
      $C$2:C66,TEXT(C66,"aaaa-mm-dd"),
      $I$2:I66,TEXT(I66,"0")
   )&gt;1,
   "Duplicado",
   "Único"
)</f>
        <v>Único</v>
      </c>
      <c r="K66">
        <v>3112000911</v>
      </c>
      <c r="L66" t="s">
        <v>150</v>
      </c>
      <c r="M66" s="1">
        <v>29836</v>
      </c>
      <c r="N66">
        <v>44</v>
      </c>
      <c r="O66">
        <v>1</v>
      </c>
      <c r="P66" t="s">
        <v>61</v>
      </c>
      <c r="Q66" t="s">
        <v>151</v>
      </c>
      <c r="S66" t="s">
        <v>152</v>
      </c>
      <c r="T66" t="s">
        <v>153</v>
      </c>
      <c r="U66" s="2">
        <v>45952.009519097221</v>
      </c>
      <c r="V66" t="s">
        <v>37</v>
      </c>
      <c r="W66" t="s">
        <v>136</v>
      </c>
      <c r="AD66" t="s">
        <v>155</v>
      </c>
    </row>
    <row r="67" spans="1:30" ht="15" customHeight="1" x14ac:dyDescent="0.25">
      <c r="A67">
        <v>45052</v>
      </c>
      <c r="B67" s="1">
        <v>45948</v>
      </c>
      <c r="C67" t="s">
        <v>156</v>
      </c>
      <c r="D67" t="s">
        <v>157</v>
      </c>
      <c r="E67" s="1">
        <v>45951</v>
      </c>
      <c r="F67" s="1">
        <v>45951</v>
      </c>
      <c r="G67" t="s">
        <v>158</v>
      </c>
      <c r="H67">
        <v>80014765</v>
      </c>
      <c r="I67" t="s">
        <v>149</v>
      </c>
      <c r="J67" t="str">
        <f>IF(
   COUNTIFS(
      $E$2:E67,TRIM(UPPER(E67)),
      $G$2:G67,TRIM(UPPER(G67)),
      $C$2:C67,TEXT(C67,"aaaa-mm-dd"),
      $I$2:I67,TEXT(I67,"0")
   )&gt;1,
   "Duplicado",
   "Único"
)</f>
        <v>Único</v>
      </c>
      <c r="K67">
        <v>3112000911</v>
      </c>
      <c r="L67" t="s">
        <v>150</v>
      </c>
      <c r="M67" s="1">
        <v>29836</v>
      </c>
      <c r="N67">
        <v>44</v>
      </c>
      <c r="O67">
        <v>1</v>
      </c>
      <c r="P67" t="s">
        <v>61</v>
      </c>
      <c r="Q67" t="s">
        <v>151</v>
      </c>
      <c r="S67" t="s">
        <v>152</v>
      </c>
      <c r="T67" t="s">
        <v>153</v>
      </c>
      <c r="U67" s="2">
        <v>45948.00786203704</v>
      </c>
      <c r="V67" t="s">
        <v>37</v>
      </c>
      <c r="W67" t="s">
        <v>89</v>
      </c>
      <c r="AD67" t="s">
        <v>159</v>
      </c>
    </row>
    <row r="68" spans="1:30" ht="15" customHeight="1" x14ac:dyDescent="0.25">
      <c r="A68">
        <v>45046</v>
      </c>
      <c r="B68" s="1">
        <v>45948</v>
      </c>
      <c r="C68" t="s">
        <v>156</v>
      </c>
      <c r="D68" t="s">
        <v>157</v>
      </c>
      <c r="E68" s="1">
        <v>45950</v>
      </c>
      <c r="F68" s="1">
        <v>45950</v>
      </c>
      <c r="G68" t="s">
        <v>160</v>
      </c>
      <c r="H68">
        <v>80014765</v>
      </c>
      <c r="I68" t="s">
        <v>149</v>
      </c>
      <c r="J68" t="str">
        <f>IF(
   COUNTIFS(
      $E$2:E68,TRIM(UPPER(E68)),
      $G$2:G68,TRIM(UPPER(G68)),
      $C$2:C68,TEXT(C68,"aaaa-mm-dd"),
      $I$2:I68,TEXT(I68,"0")
   )&gt;1,
   "Duplicado",
   "Único"
)</f>
        <v>Único</v>
      </c>
      <c r="K68">
        <v>3112000911</v>
      </c>
      <c r="L68" t="s">
        <v>150</v>
      </c>
      <c r="M68" s="1">
        <v>29836</v>
      </c>
      <c r="N68">
        <v>44</v>
      </c>
      <c r="O68">
        <v>1</v>
      </c>
      <c r="P68" t="s">
        <v>61</v>
      </c>
      <c r="Q68" t="s">
        <v>151</v>
      </c>
      <c r="S68" t="s">
        <v>152</v>
      </c>
      <c r="T68" t="s">
        <v>153</v>
      </c>
      <c r="U68" s="2">
        <v>45948.007769675925</v>
      </c>
      <c r="V68" t="s">
        <v>37</v>
      </c>
      <c r="W68" t="s">
        <v>89</v>
      </c>
      <c r="AD68" t="s">
        <v>161</v>
      </c>
    </row>
    <row r="69" spans="1:30" ht="15" customHeight="1" x14ac:dyDescent="0.25">
      <c r="A69">
        <v>45048</v>
      </c>
      <c r="B69" s="1">
        <v>45948</v>
      </c>
      <c r="C69" t="s">
        <v>57</v>
      </c>
      <c r="D69" t="s">
        <v>70</v>
      </c>
      <c r="E69" s="1">
        <v>45950</v>
      </c>
      <c r="F69" s="1">
        <v>45950</v>
      </c>
      <c r="G69" t="s">
        <v>57</v>
      </c>
      <c r="H69">
        <v>80014765</v>
      </c>
      <c r="I69" t="s">
        <v>149</v>
      </c>
      <c r="J69" t="str">
        <f>IF(
   COUNTIFS(
      $E$2:E69,TRIM(UPPER(E69)),
      $G$2:G69,TRIM(UPPER(G69)),
      $C$2:C69,TEXT(C69,"aaaa-mm-dd"),
      $I$2:I69,TEXT(I69,"0")
   )&gt;1,
   "Duplicado",
   "Único"
)</f>
        <v>Único</v>
      </c>
      <c r="K69">
        <v>3112000911</v>
      </c>
      <c r="L69" t="s">
        <v>150</v>
      </c>
      <c r="M69" s="1">
        <v>29836</v>
      </c>
      <c r="N69">
        <v>44</v>
      </c>
      <c r="O69">
        <v>1</v>
      </c>
      <c r="P69" t="s">
        <v>61</v>
      </c>
      <c r="Q69" t="s">
        <v>151</v>
      </c>
      <c r="S69" t="s">
        <v>152</v>
      </c>
      <c r="T69" t="s">
        <v>153</v>
      </c>
      <c r="U69" s="2">
        <v>45948.007804166664</v>
      </c>
      <c r="V69" t="s">
        <v>37</v>
      </c>
      <c r="W69" t="s">
        <v>38</v>
      </c>
      <c r="X69" s="3" t="s">
        <v>162</v>
      </c>
      <c r="Y69" t="s">
        <v>163</v>
      </c>
      <c r="Z69" t="s">
        <v>163</v>
      </c>
      <c r="AA69" t="s">
        <v>68</v>
      </c>
      <c r="AB69" t="s">
        <v>68</v>
      </c>
      <c r="AC69" t="s">
        <v>68</v>
      </c>
      <c r="AD69" s="3" t="s">
        <v>164</v>
      </c>
    </row>
    <row r="70" spans="1:30" ht="15" customHeight="1" x14ac:dyDescent="0.25">
      <c r="A70">
        <v>41347</v>
      </c>
      <c r="B70" s="1">
        <v>45931</v>
      </c>
      <c r="C70" t="s">
        <v>276</v>
      </c>
      <c r="D70" t="s">
        <v>157</v>
      </c>
      <c r="E70" s="1">
        <v>45932</v>
      </c>
      <c r="F70" s="1">
        <v>45932</v>
      </c>
      <c r="G70" t="s">
        <v>277</v>
      </c>
      <c r="H70">
        <v>1050950309</v>
      </c>
      <c r="I70" t="s">
        <v>652</v>
      </c>
      <c r="J70" t="str">
        <f>IF(
   COUNTIFS(
      $E$2:E70,TRIM(UPPER(E70)),
      $G$2:G70,TRIM(UPPER(G70)),
      $C$2:C70,TEXT(C70,"aaaa-mm-dd"),
      $I$2:I70,TEXT(I70,"0")
   )&gt;1,
   "Duplicado",
   "Único"
)</f>
        <v>Único</v>
      </c>
      <c r="K70">
        <v>3108672610</v>
      </c>
      <c r="L70" t="s">
        <v>653</v>
      </c>
      <c r="M70" s="1">
        <v>32134</v>
      </c>
      <c r="N70">
        <v>37</v>
      </c>
      <c r="O70">
        <v>1</v>
      </c>
      <c r="P70" t="s">
        <v>99</v>
      </c>
      <c r="Q70" t="s">
        <v>654</v>
      </c>
      <c r="R70" t="s">
        <v>519</v>
      </c>
      <c r="S70" t="s">
        <v>655</v>
      </c>
      <c r="T70" t="s">
        <v>459</v>
      </c>
      <c r="U70" s="2">
        <v>45931.009885416664</v>
      </c>
      <c r="V70" t="s">
        <v>37</v>
      </c>
      <c r="W70" t="s">
        <v>38</v>
      </c>
      <c r="AD70" t="s">
        <v>656</v>
      </c>
    </row>
    <row r="71" spans="1:30" ht="15" customHeight="1" x14ac:dyDescent="0.25">
      <c r="A71">
        <v>41181</v>
      </c>
      <c r="B71" s="1">
        <v>45930</v>
      </c>
      <c r="C71" t="s">
        <v>276</v>
      </c>
      <c r="D71" t="s">
        <v>157</v>
      </c>
      <c r="E71" s="1">
        <v>45931</v>
      </c>
      <c r="F71" s="1">
        <v>45931</v>
      </c>
      <c r="G71" t="s">
        <v>277</v>
      </c>
      <c r="H71">
        <v>1050950309</v>
      </c>
      <c r="I71" t="s">
        <v>652</v>
      </c>
      <c r="J71" t="str">
        <f>IF(
   COUNTIFS(
      $E$2:E71,TRIM(UPPER(E71)),
      $G$2:G71,TRIM(UPPER(G71)),
      $C$2:C71,TEXT(C71,"aaaa-mm-dd"),
      $I$2:I71,TEXT(I71,"0")
   )&gt;1,
   "Duplicado",
   "Único"
)</f>
        <v>Único</v>
      </c>
      <c r="K71">
        <v>3108672610</v>
      </c>
      <c r="L71" t="s">
        <v>653</v>
      </c>
      <c r="M71" s="1">
        <v>32134</v>
      </c>
      <c r="N71">
        <v>37</v>
      </c>
      <c r="O71">
        <v>1</v>
      </c>
      <c r="P71" t="s">
        <v>99</v>
      </c>
      <c r="Q71" t="s">
        <v>654</v>
      </c>
      <c r="R71" t="s">
        <v>519</v>
      </c>
      <c r="S71" t="s">
        <v>655</v>
      </c>
      <c r="T71" t="s">
        <v>459</v>
      </c>
      <c r="U71" s="2">
        <v>45930.01183171296</v>
      </c>
      <c r="V71" t="s">
        <v>37</v>
      </c>
      <c r="W71" t="s">
        <v>50</v>
      </c>
      <c r="AD71" t="s">
        <v>656</v>
      </c>
    </row>
    <row r="72" spans="1:30" ht="15" customHeight="1" x14ac:dyDescent="0.25">
      <c r="A72">
        <v>43055</v>
      </c>
      <c r="B72" s="1">
        <v>45937</v>
      </c>
      <c r="C72" t="s">
        <v>29</v>
      </c>
      <c r="D72" t="s">
        <v>828</v>
      </c>
      <c r="E72" s="1">
        <v>45938</v>
      </c>
      <c r="F72" s="1">
        <v>45938</v>
      </c>
      <c r="G72" t="s">
        <v>30</v>
      </c>
      <c r="H72">
        <v>15532832</v>
      </c>
      <c r="I72" t="s">
        <v>827</v>
      </c>
      <c r="J72" t="str">
        <f>IF(
   COUNTIFS(
      $E$2:E72,TRIM(UPPER(E72)),
      $G$2:G72,TRIM(UPPER(G72)),
      $C$2:C72,TEXT(C72,"aaaa-mm-dd"),
      $I$2:I72,TEXT(I72,"0")
   )&gt;1,
   "Duplicado",
   "Único"
)</f>
        <v>Único</v>
      </c>
      <c r="K72">
        <v>3103861800</v>
      </c>
      <c r="L72" t="s">
        <v>31</v>
      </c>
      <c r="M72" s="1">
        <v>27375</v>
      </c>
      <c r="N72">
        <v>50</v>
      </c>
      <c r="O72">
        <v>1</v>
      </c>
      <c r="P72" t="s">
        <v>32</v>
      </c>
      <c r="Q72" t="s">
        <v>33</v>
      </c>
      <c r="R72" t="s">
        <v>34</v>
      </c>
      <c r="S72" t="s">
        <v>35</v>
      </c>
      <c r="T72" t="s">
        <v>36</v>
      </c>
      <c r="U72" s="2">
        <v>45937.01146238426</v>
      </c>
      <c r="V72" t="s">
        <v>37</v>
      </c>
      <c r="W72" t="s">
        <v>38</v>
      </c>
      <c r="X72" s="3" t="s">
        <v>39</v>
      </c>
      <c r="Y72" t="s">
        <v>67</v>
      </c>
      <c r="AD72" t="s">
        <v>41</v>
      </c>
    </row>
    <row r="73" spans="1:30" ht="15" customHeight="1" x14ac:dyDescent="0.25">
      <c r="A73">
        <v>46996</v>
      </c>
      <c r="B73" s="1">
        <v>45958</v>
      </c>
      <c r="C73" t="s">
        <v>57</v>
      </c>
      <c r="D73" t="s">
        <v>828</v>
      </c>
      <c r="E73" s="1">
        <v>45958</v>
      </c>
      <c r="F73" s="1">
        <v>45958</v>
      </c>
      <c r="G73" t="s">
        <v>57</v>
      </c>
      <c r="H73">
        <v>55232922</v>
      </c>
      <c r="I73" t="s">
        <v>625</v>
      </c>
      <c r="J73" t="str">
        <f>IF(
   COUNTIFS(
      $E$2:E73,TRIM(UPPER(E73)),
      $G$2:G73,TRIM(UPPER(G73)),
      $C$2:C73,TEXT(C73,"aaaa-mm-dd"),
      $I$2:I73,TEXT(I73,"0")
   )&gt;1,
   "Duplicado",
   "Único"
)</f>
        <v>Único</v>
      </c>
      <c r="K73">
        <v>3024141985</v>
      </c>
      <c r="L73" t="s">
        <v>626</v>
      </c>
      <c r="M73" s="1">
        <v>30904</v>
      </c>
      <c r="N73">
        <v>41</v>
      </c>
      <c r="O73">
        <v>1</v>
      </c>
      <c r="P73" t="s">
        <v>61</v>
      </c>
      <c r="Q73" t="s">
        <v>627</v>
      </c>
      <c r="R73" t="s">
        <v>628</v>
      </c>
      <c r="S73" t="s">
        <v>629</v>
      </c>
      <c r="T73" t="s">
        <v>630</v>
      </c>
      <c r="U73" s="2">
        <v>45958.007745254632</v>
      </c>
      <c r="V73" t="s">
        <v>37</v>
      </c>
      <c r="W73" t="s">
        <v>38</v>
      </c>
      <c r="X73" t="s">
        <v>268</v>
      </c>
      <c r="AD73" t="s">
        <v>631</v>
      </c>
    </row>
    <row r="74" spans="1:30" ht="15" customHeight="1" x14ac:dyDescent="0.25">
      <c r="A74">
        <v>45845</v>
      </c>
      <c r="B74" s="1">
        <v>45952</v>
      </c>
      <c r="C74" t="s">
        <v>57</v>
      </c>
      <c r="D74" t="s">
        <v>70</v>
      </c>
      <c r="E74" s="1">
        <v>45955</v>
      </c>
      <c r="F74" s="1">
        <v>45955</v>
      </c>
      <c r="G74" t="s">
        <v>57</v>
      </c>
      <c r="H74">
        <v>66955659</v>
      </c>
      <c r="I74" t="s">
        <v>609</v>
      </c>
      <c r="J74" t="str">
        <f>IF(
   COUNTIFS(
      $E$2:E74,TRIM(UPPER(E74)),
      $G$2:G74,TRIM(UPPER(G74)),
      $C$2:C74,TEXT(C74,"aaaa-mm-dd"),
      $I$2:I74,TEXT(I74,"0")
   )&gt;1,
   "Duplicado",
   "Único"
)</f>
        <v>Único</v>
      </c>
      <c r="K74">
        <v>3043530267</v>
      </c>
      <c r="L74" t="s">
        <v>610</v>
      </c>
      <c r="M74" s="1">
        <v>27771</v>
      </c>
      <c r="N74">
        <v>49</v>
      </c>
      <c r="O74">
        <v>1</v>
      </c>
      <c r="P74" t="s">
        <v>99</v>
      </c>
      <c r="Q74" t="s">
        <v>611</v>
      </c>
      <c r="S74" t="s">
        <v>612</v>
      </c>
      <c r="T74" t="s">
        <v>552</v>
      </c>
      <c r="U74" s="2">
        <v>45952.008420486112</v>
      </c>
      <c r="V74" t="s">
        <v>37</v>
      </c>
      <c r="W74" t="s">
        <v>38</v>
      </c>
      <c r="X74" s="3" t="s">
        <v>51</v>
      </c>
      <c r="Y74" t="s">
        <v>67</v>
      </c>
      <c r="Z74" t="s">
        <v>68</v>
      </c>
      <c r="AA74" t="s">
        <v>68</v>
      </c>
      <c r="AB74" t="s">
        <v>68</v>
      </c>
      <c r="AC74" t="s">
        <v>68</v>
      </c>
      <c r="AD74" t="s">
        <v>613</v>
      </c>
    </row>
    <row r="75" spans="1:30" ht="15" customHeight="1" x14ac:dyDescent="0.25">
      <c r="A75">
        <v>44348</v>
      </c>
      <c r="B75" s="1">
        <v>45945</v>
      </c>
      <c r="C75" t="s">
        <v>57</v>
      </c>
      <c r="D75" t="s">
        <v>54</v>
      </c>
      <c r="E75" s="1">
        <v>45954</v>
      </c>
      <c r="F75" s="1">
        <v>45954</v>
      </c>
      <c r="G75" t="s">
        <v>57</v>
      </c>
      <c r="H75">
        <v>66955659</v>
      </c>
      <c r="I75" t="s">
        <v>609</v>
      </c>
      <c r="J75" t="str">
        <f>IF(
   COUNTIFS(
      $E$2:E75,TRIM(UPPER(E75)),
      $G$2:G75,TRIM(UPPER(G75)),
      $C$2:C75,TEXT(C75,"aaaa-mm-dd"),
      $I$2:I75,TEXT(I75,"0")
   )&gt;1,
   "Duplicado",
   "Único"
)</f>
        <v>Único</v>
      </c>
      <c r="K75">
        <v>3043530267</v>
      </c>
      <c r="L75" t="s">
        <v>610</v>
      </c>
      <c r="M75" s="1">
        <v>27771</v>
      </c>
      <c r="N75">
        <v>49</v>
      </c>
      <c r="O75">
        <v>1</v>
      </c>
      <c r="P75" t="s">
        <v>99</v>
      </c>
      <c r="Q75" t="s">
        <v>611</v>
      </c>
      <c r="S75" t="s">
        <v>612</v>
      </c>
      <c r="T75" t="s">
        <v>552</v>
      </c>
      <c r="U75" s="2">
        <v>45945.009495023151</v>
      </c>
      <c r="V75" t="s">
        <v>37</v>
      </c>
      <c r="W75" t="s">
        <v>94</v>
      </c>
      <c r="X75" s="3" t="s">
        <v>51</v>
      </c>
      <c r="Y75" t="s">
        <v>67</v>
      </c>
      <c r="Z75" t="s">
        <v>68</v>
      </c>
      <c r="AA75" t="s">
        <v>68</v>
      </c>
      <c r="AB75" t="s">
        <v>68</v>
      </c>
      <c r="AC75" t="s">
        <v>68</v>
      </c>
      <c r="AD75" t="s">
        <v>614</v>
      </c>
    </row>
    <row r="76" spans="1:30" ht="15" customHeight="1" x14ac:dyDescent="0.25">
      <c r="A76">
        <v>44581</v>
      </c>
      <c r="B76" s="1">
        <v>45946</v>
      </c>
      <c r="C76" t="s">
        <v>57</v>
      </c>
      <c r="D76" t="s">
        <v>54</v>
      </c>
      <c r="E76" s="1">
        <v>45950</v>
      </c>
      <c r="F76" s="1">
        <v>45950</v>
      </c>
      <c r="G76" t="s">
        <v>57</v>
      </c>
      <c r="H76">
        <v>1245678</v>
      </c>
      <c r="I76" t="s">
        <v>744</v>
      </c>
      <c r="J76" t="str">
        <f>IF(
   COUNTIFS(
      $E$2:E76,TRIM(UPPER(E76)),
      $G$2:G76,TRIM(UPPER(G76)),
      $C$2:C76,TEXT(C76,"aaaa-mm-dd"),
      $I$2:I76,TEXT(I76,"0")
   )&gt;1,
   "Duplicado",
   "Único"
)</f>
        <v>Único</v>
      </c>
      <c r="K76">
        <v>786553226</v>
      </c>
      <c r="L76" t="s">
        <v>745</v>
      </c>
      <c r="P76" t="s">
        <v>45</v>
      </c>
      <c r="Q76" t="s">
        <v>430</v>
      </c>
      <c r="S76" t="s">
        <v>746</v>
      </c>
      <c r="U76" s="2">
        <v>45946.008114930555</v>
      </c>
      <c r="V76" t="s">
        <v>37</v>
      </c>
      <c r="W76" t="s">
        <v>136</v>
      </c>
      <c r="AD76" t="s">
        <v>747</v>
      </c>
    </row>
    <row r="77" spans="1:30" ht="15" customHeight="1" x14ac:dyDescent="0.25">
      <c r="A77">
        <v>43372</v>
      </c>
      <c r="B77" s="1">
        <v>45939</v>
      </c>
      <c r="C77" t="s">
        <v>57</v>
      </c>
      <c r="D77" t="s">
        <v>70</v>
      </c>
      <c r="E77" s="1">
        <v>45941</v>
      </c>
      <c r="F77" s="1">
        <v>45941</v>
      </c>
      <c r="G77" t="s">
        <v>57</v>
      </c>
      <c r="H77">
        <v>1007698128</v>
      </c>
      <c r="I77" t="s">
        <v>534</v>
      </c>
      <c r="J77" t="str">
        <f>IF(
   COUNTIFS(
      $E$2:E77,TRIM(UPPER(E77)),
      $G$2:G77,TRIM(UPPER(G77)),
      $C$2:C77,TEXT(C77,"aaaa-mm-dd"),
      $I$2:I77,TEXT(I77,"0")
   )&gt;1,
   "Duplicado",
   "Único"
)</f>
        <v>Único</v>
      </c>
      <c r="K77">
        <v>3012047856</v>
      </c>
      <c r="L77" t="s">
        <v>535</v>
      </c>
      <c r="M77" s="1">
        <v>36888</v>
      </c>
      <c r="N77">
        <v>24</v>
      </c>
      <c r="O77">
        <v>1</v>
      </c>
      <c r="P77" t="s">
        <v>321</v>
      </c>
      <c r="Q77" t="s">
        <v>140</v>
      </c>
      <c r="R77" t="s">
        <v>184</v>
      </c>
      <c r="S77" t="s">
        <v>536</v>
      </c>
      <c r="T77" t="s">
        <v>537</v>
      </c>
      <c r="U77" s="2">
        <v>45939.008340046297</v>
      </c>
      <c r="V77" t="s">
        <v>37</v>
      </c>
      <c r="W77" t="s">
        <v>38</v>
      </c>
      <c r="X77" t="s">
        <v>66</v>
      </c>
      <c r="Y77" t="s">
        <v>40</v>
      </c>
      <c r="Z77" t="s">
        <v>68</v>
      </c>
      <c r="AA77" t="s">
        <v>68</v>
      </c>
      <c r="AB77" t="s">
        <v>68</v>
      </c>
      <c r="AC77" t="s">
        <v>68</v>
      </c>
      <c r="AD77" t="s">
        <v>538</v>
      </c>
    </row>
    <row r="78" spans="1:30" ht="15" customHeight="1" x14ac:dyDescent="0.25">
      <c r="A78">
        <v>45522</v>
      </c>
      <c r="B78" s="1">
        <v>45951</v>
      </c>
      <c r="C78" t="s">
        <v>57</v>
      </c>
      <c r="D78" t="s">
        <v>54</v>
      </c>
      <c r="E78" s="1">
        <v>45951</v>
      </c>
      <c r="F78" s="1">
        <v>45951</v>
      </c>
      <c r="G78" t="s">
        <v>57</v>
      </c>
      <c r="H78">
        <v>80064371</v>
      </c>
      <c r="I78" t="s">
        <v>343</v>
      </c>
      <c r="J78" t="str">
        <f>IF(
   COUNTIFS(
      $E$2:E78,TRIM(UPPER(E78)),
      $G$2:G78,TRIM(UPPER(G78)),
      $C$2:C78,TEXT(C78,"aaaa-mm-dd"),
      $I$2:I78,TEXT(I78,"0")
   )&gt;1,
   "Duplicado",
   "Único"
)</f>
        <v>Único</v>
      </c>
      <c r="K78">
        <v>3102357377</v>
      </c>
      <c r="L78" t="s">
        <v>344</v>
      </c>
      <c r="M78" s="1">
        <v>29034</v>
      </c>
      <c r="N78">
        <v>46</v>
      </c>
      <c r="O78">
        <v>1</v>
      </c>
      <c r="P78" t="s">
        <v>61</v>
      </c>
      <c r="Q78" t="s">
        <v>345</v>
      </c>
      <c r="S78" t="s">
        <v>346</v>
      </c>
      <c r="T78" t="s">
        <v>186</v>
      </c>
      <c r="U78" s="2">
        <v>45951.006729745372</v>
      </c>
      <c r="V78" t="s">
        <v>37</v>
      </c>
      <c r="W78" t="s">
        <v>89</v>
      </c>
      <c r="X78" s="3" t="s">
        <v>39</v>
      </c>
      <c r="Y78" t="s">
        <v>40</v>
      </c>
      <c r="Z78" t="s">
        <v>40</v>
      </c>
      <c r="AD78" t="s">
        <v>347</v>
      </c>
    </row>
    <row r="79" spans="1:30" ht="15" customHeight="1" x14ac:dyDescent="0.25">
      <c r="A79">
        <v>45255</v>
      </c>
      <c r="B79" s="1">
        <v>45950</v>
      </c>
      <c r="C79" t="s">
        <v>156</v>
      </c>
      <c r="D79" t="s">
        <v>157</v>
      </c>
      <c r="E79" s="1">
        <v>45953</v>
      </c>
      <c r="F79" s="1">
        <v>45953</v>
      </c>
      <c r="G79" t="s">
        <v>158</v>
      </c>
      <c r="H79">
        <v>80064371</v>
      </c>
      <c r="I79" t="s">
        <v>343</v>
      </c>
      <c r="J79" t="str">
        <f>IF(
   COUNTIFS(
      $E$2:E79,TRIM(UPPER(E79)),
      $G$2:G79,TRIM(UPPER(G79)),
      $C$2:C79,TEXT(C79,"aaaa-mm-dd"),
      $I$2:I79,TEXT(I79,"0")
   )&gt;1,
   "Duplicado",
   "Único"
)</f>
        <v>Único</v>
      </c>
      <c r="K79">
        <v>3102357377</v>
      </c>
      <c r="L79" t="s">
        <v>344</v>
      </c>
      <c r="M79" s="1">
        <v>29034</v>
      </c>
      <c r="N79">
        <v>46</v>
      </c>
      <c r="O79">
        <v>1</v>
      </c>
      <c r="P79" t="s">
        <v>61</v>
      </c>
      <c r="Q79" t="s">
        <v>345</v>
      </c>
      <c r="S79" t="s">
        <v>346</v>
      </c>
      <c r="T79" t="s">
        <v>186</v>
      </c>
      <c r="U79" s="2">
        <v>45950.007353125002</v>
      </c>
      <c r="V79" t="s">
        <v>37</v>
      </c>
      <c r="W79" t="s">
        <v>89</v>
      </c>
      <c r="AD79" t="s">
        <v>348</v>
      </c>
    </row>
    <row r="80" spans="1:30" ht="15" customHeight="1" x14ac:dyDescent="0.25">
      <c r="A80">
        <v>45254</v>
      </c>
      <c r="B80" s="1">
        <v>45950</v>
      </c>
      <c r="C80" t="s">
        <v>156</v>
      </c>
      <c r="D80" t="s">
        <v>157</v>
      </c>
      <c r="E80" s="1">
        <v>45952</v>
      </c>
      <c r="F80" s="1">
        <v>45952</v>
      </c>
      <c r="G80" t="s">
        <v>160</v>
      </c>
      <c r="H80">
        <v>80064371</v>
      </c>
      <c r="I80" t="s">
        <v>343</v>
      </c>
      <c r="J80" t="str">
        <f>IF(
   COUNTIFS(
      $E$2:E80,TRIM(UPPER(E80)),
      $G$2:G80,TRIM(UPPER(G80)),
      $C$2:C80,TEXT(C80,"aaaa-mm-dd"),
      $I$2:I80,TEXT(I80,"0")
   )&gt;1,
   "Duplicado",
   "Único"
)</f>
        <v>Único</v>
      </c>
      <c r="K80">
        <v>3102357377</v>
      </c>
      <c r="L80" t="s">
        <v>344</v>
      </c>
      <c r="M80" s="1">
        <v>29034</v>
      </c>
      <c r="N80">
        <v>46</v>
      </c>
      <c r="O80">
        <v>1</v>
      </c>
      <c r="P80" t="s">
        <v>61</v>
      </c>
      <c r="Q80" t="s">
        <v>345</v>
      </c>
      <c r="S80" t="s">
        <v>346</v>
      </c>
      <c r="T80" t="s">
        <v>186</v>
      </c>
      <c r="U80" s="2">
        <v>45950.007343171295</v>
      </c>
      <c r="V80" t="s">
        <v>37</v>
      </c>
      <c r="W80" t="s">
        <v>89</v>
      </c>
      <c r="AD80" t="s">
        <v>349</v>
      </c>
    </row>
    <row r="81" spans="1:30" ht="15" customHeight="1" x14ac:dyDescent="0.25">
      <c r="A81">
        <v>47491</v>
      </c>
      <c r="B81" s="1">
        <v>45960</v>
      </c>
      <c r="C81" t="s">
        <v>29</v>
      </c>
      <c r="D81" t="s">
        <v>54</v>
      </c>
      <c r="E81" s="1">
        <v>45960</v>
      </c>
      <c r="F81" s="1">
        <v>45960</v>
      </c>
      <c r="G81" t="s">
        <v>30</v>
      </c>
      <c r="H81">
        <v>77039085</v>
      </c>
      <c r="I81" t="s">
        <v>388</v>
      </c>
      <c r="J81" t="str">
        <f>IF(
   COUNTIFS(
      $E$2:E81,TRIM(UPPER(E81)),
      $G$2:G81,TRIM(UPPER(G81)),
      $C$2:C81,TEXT(C81,"aaaa-mm-dd"),
      $I$2:I81,TEXT(I81,"0")
   )&gt;1,
   "Duplicado",
   "Único"
)</f>
        <v>Único</v>
      </c>
      <c r="K81">
        <v>3126543239</v>
      </c>
      <c r="L81" t="s">
        <v>389</v>
      </c>
      <c r="M81" s="1">
        <v>28968</v>
      </c>
      <c r="N81">
        <v>46</v>
      </c>
      <c r="O81">
        <v>1</v>
      </c>
      <c r="P81" t="s">
        <v>183</v>
      </c>
      <c r="Q81" t="s">
        <v>390</v>
      </c>
      <c r="R81" t="s">
        <v>101</v>
      </c>
      <c r="S81" t="s">
        <v>391</v>
      </c>
      <c r="T81" t="s">
        <v>111</v>
      </c>
      <c r="U81" s="2">
        <v>45960.009679861112</v>
      </c>
      <c r="V81" t="s">
        <v>37</v>
      </c>
      <c r="W81" t="s">
        <v>38</v>
      </c>
      <c r="X81" s="3" t="s">
        <v>39</v>
      </c>
      <c r="Y81" t="s">
        <v>40</v>
      </c>
      <c r="Z81" t="s">
        <v>40</v>
      </c>
      <c r="AD81" t="s">
        <v>392</v>
      </c>
    </row>
    <row r="82" spans="1:30" ht="15" customHeight="1" x14ac:dyDescent="0.25">
      <c r="A82">
        <v>42146</v>
      </c>
      <c r="B82" s="1">
        <v>45934</v>
      </c>
      <c r="C82" t="s">
        <v>147</v>
      </c>
      <c r="D82" t="s">
        <v>81</v>
      </c>
      <c r="E82" s="1">
        <v>45934</v>
      </c>
      <c r="F82" s="1">
        <v>45934</v>
      </c>
      <c r="G82" t="s">
        <v>148</v>
      </c>
      <c r="H82">
        <v>77039085</v>
      </c>
      <c r="I82" t="s">
        <v>388</v>
      </c>
      <c r="J82" t="str">
        <f>IF(
   COUNTIFS(
      $E$2:E82,TRIM(UPPER(E82)),
      $G$2:G82,TRIM(UPPER(G82)),
      $C$2:C82,TEXT(C82,"aaaa-mm-dd"),
      $I$2:I82,TEXT(I82,"0")
   )&gt;1,
   "Duplicado",
   "Único"
)</f>
        <v>Único</v>
      </c>
      <c r="K82">
        <v>3126543239</v>
      </c>
      <c r="L82" t="s">
        <v>389</v>
      </c>
      <c r="M82" s="1">
        <v>28968</v>
      </c>
      <c r="N82">
        <v>46</v>
      </c>
      <c r="O82">
        <v>1</v>
      </c>
      <c r="P82" t="s">
        <v>183</v>
      </c>
      <c r="Q82" t="s">
        <v>390</v>
      </c>
      <c r="R82" t="s">
        <v>101</v>
      </c>
      <c r="S82" t="s">
        <v>391</v>
      </c>
      <c r="T82" t="s">
        <v>111</v>
      </c>
      <c r="U82" s="2">
        <v>45934.007293055554</v>
      </c>
      <c r="V82" t="s">
        <v>37</v>
      </c>
      <c r="W82" t="s">
        <v>89</v>
      </c>
      <c r="AD82" t="s">
        <v>393</v>
      </c>
    </row>
    <row r="83" spans="1:30" ht="15" customHeight="1" x14ac:dyDescent="0.25">
      <c r="A83">
        <v>41341</v>
      </c>
      <c r="B83" s="1">
        <v>45931</v>
      </c>
      <c r="C83" t="s">
        <v>156</v>
      </c>
      <c r="D83" t="s">
        <v>828</v>
      </c>
      <c r="E83" s="1">
        <v>45933</v>
      </c>
      <c r="F83" s="1">
        <v>45933</v>
      </c>
      <c r="G83" t="s">
        <v>394</v>
      </c>
      <c r="H83">
        <v>77039085</v>
      </c>
      <c r="I83" t="s">
        <v>388</v>
      </c>
      <c r="J83" t="str">
        <f>IF(
   COUNTIFS(
      $E$2:E83,TRIM(UPPER(E83)),
      $G$2:G83,TRIM(UPPER(G83)),
      $C$2:C83,TEXT(C83,"aaaa-mm-dd"),
      $I$2:I83,TEXT(I83,"0")
   )&gt;1,
   "Duplicado",
   "Único"
)</f>
        <v>Único</v>
      </c>
      <c r="K83">
        <v>3126543239</v>
      </c>
      <c r="L83" t="s">
        <v>389</v>
      </c>
      <c r="M83" s="1">
        <v>28968</v>
      </c>
      <c r="N83">
        <v>46</v>
      </c>
      <c r="O83">
        <v>1</v>
      </c>
      <c r="P83" t="s">
        <v>183</v>
      </c>
      <c r="Q83" t="s">
        <v>390</v>
      </c>
      <c r="R83" t="s">
        <v>101</v>
      </c>
      <c r="S83" t="s">
        <v>391</v>
      </c>
      <c r="T83" t="s">
        <v>111</v>
      </c>
      <c r="U83" s="2">
        <v>45931.009412962965</v>
      </c>
      <c r="V83" t="s">
        <v>37</v>
      </c>
      <c r="W83" t="s">
        <v>38</v>
      </c>
      <c r="AD83" t="s">
        <v>395</v>
      </c>
    </row>
    <row r="84" spans="1:30" ht="15" customHeight="1" x14ac:dyDescent="0.25">
      <c r="A84">
        <v>41340</v>
      </c>
      <c r="B84" s="1">
        <v>45931</v>
      </c>
      <c r="C84" t="s">
        <v>156</v>
      </c>
      <c r="D84" t="s">
        <v>828</v>
      </c>
      <c r="E84" s="1">
        <v>45932</v>
      </c>
      <c r="F84" s="1">
        <v>45932</v>
      </c>
      <c r="G84" t="s">
        <v>394</v>
      </c>
      <c r="H84">
        <v>77039085</v>
      </c>
      <c r="I84" t="s">
        <v>388</v>
      </c>
      <c r="J84" t="str">
        <f>IF(
   COUNTIFS(
      $E$2:E84,TRIM(UPPER(E84)),
      $G$2:G84,TRIM(UPPER(G84)),
      $C$2:C84,TEXT(C84,"aaaa-mm-dd"),
      $I$2:I84,TEXT(I84,"0")
   )&gt;1,
   "Duplicado",
   "Único"
)</f>
        <v>Único</v>
      </c>
      <c r="K84">
        <v>3126543239</v>
      </c>
      <c r="L84" t="s">
        <v>389</v>
      </c>
      <c r="M84" s="1">
        <v>28968</v>
      </c>
      <c r="N84">
        <v>46</v>
      </c>
      <c r="O84">
        <v>1</v>
      </c>
      <c r="P84" t="s">
        <v>183</v>
      </c>
      <c r="Q84" t="s">
        <v>390</v>
      </c>
      <c r="R84" t="s">
        <v>101</v>
      </c>
      <c r="S84" t="s">
        <v>391</v>
      </c>
      <c r="T84" t="s">
        <v>111</v>
      </c>
      <c r="U84" s="2">
        <v>45931.009378587965</v>
      </c>
      <c r="V84" t="s">
        <v>37</v>
      </c>
      <c r="W84" t="s">
        <v>89</v>
      </c>
      <c r="AD84" s="3" t="s">
        <v>396</v>
      </c>
    </row>
    <row r="85" spans="1:30" ht="15" customHeight="1" x14ac:dyDescent="0.25">
      <c r="A85">
        <v>39411</v>
      </c>
      <c r="B85" s="1">
        <v>45918</v>
      </c>
      <c r="C85" t="s">
        <v>147</v>
      </c>
      <c r="D85" t="s">
        <v>81</v>
      </c>
      <c r="E85" s="1">
        <v>45933</v>
      </c>
      <c r="F85" s="1">
        <v>45933</v>
      </c>
      <c r="G85" t="s">
        <v>148</v>
      </c>
      <c r="H85">
        <v>77039085</v>
      </c>
      <c r="I85" t="s">
        <v>388</v>
      </c>
      <c r="J85" t="str">
        <f>IF(
   COUNTIFS(
      $E$2:E85,TRIM(UPPER(E85)),
      $G$2:G85,TRIM(UPPER(G85)),
      $C$2:C85,TEXT(C85,"aaaa-mm-dd"),
      $I$2:I85,TEXT(I85,"0")
   )&gt;1,
   "Duplicado",
   "Único"
)</f>
        <v>Único</v>
      </c>
      <c r="K85">
        <v>3126543239</v>
      </c>
      <c r="L85" t="s">
        <v>389</v>
      </c>
      <c r="M85" s="1">
        <v>28968</v>
      </c>
      <c r="N85">
        <v>46</v>
      </c>
      <c r="O85">
        <v>1</v>
      </c>
      <c r="P85" t="s">
        <v>183</v>
      </c>
      <c r="Q85" t="s">
        <v>390</v>
      </c>
      <c r="R85" t="s">
        <v>101</v>
      </c>
      <c r="S85" t="s">
        <v>391</v>
      </c>
      <c r="T85" t="s">
        <v>111</v>
      </c>
      <c r="U85" s="2">
        <v>45918.006684375003</v>
      </c>
      <c r="V85" t="s">
        <v>37</v>
      </c>
      <c r="W85" t="s">
        <v>38</v>
      </c>
      <c r="AD85" t="s">
        <v>397</v>
      </c>
    </row>
    <row r="86" spans="1:30" ht="15" customHeight="1" x14ac:dyDescent="0.25">
      <c r="A86">
        <v>43500</v>
      </c>
      <c r="B86" s="1">
        <v>45940</v>
      </c>
      <c r="C86" t="s">
        <v>147</v>
      </c>
      <c r="D86" t="s">
        <v>81</v>
      </c>
      <c r="E86" s="1">
        <v>45940</v>
      </c>
      <c r="F86" s="1">
        <v>45940</v>
      </c>
      <c r="G86" t="s">
        <v>148</v>
      </c>
      <c r="H86">
        <v>77039085</v>
      </c>
      <c r="I86" t="s">
        <v>388</v>
      </c>
      <c r="J86" t="str">
        <f>IF(
   COUNTIFS(
      $E$2:E86,TRIM(UPPER(E86)),
      $G$2:G86,TRIM(UPPER(G86)),
      $C$2:C86,TEXT(C86,"aaaa-mm-dd"),
      $I$2:I86,TEXT(I86,"0")
   )&gt;1,
   "Duplicado",
   "Único"
)</f>
        <v>Único</v>
      </c>
      <c r="K86">
        <v>3126543239</v>
      </c>
      <c r="L86" t="s">
        <v>389</v>
      </c>
      <c r="M86" s="1">
        <v>28968</v>
      </c>
      <c r="N86">
        <v>46</v>
      </c>
      <c r="O86">
        <v>1</v>
      </c>
      <c r="P86" t="s">
        <v>183</v>
      </c>
      <c r="Q86" t="s">
        <v>390</v>
      </c>
      <c r="R86" t="s">
        <v>101</v>
      </c>
      <c r="S86" t="s">
        <v>391</v>
      </c>
      <c r="T86" t="s">
        <v>111</v>
      </c>
      <c r="U86" s="2">
        <v>45940.006511342595</v>
      </c>
      <c r="V86" t="s">
        <v>37</v>
      </c>
      <c r="W86" t="s">
        <v>38</v>
      </c>
      <c r="AD86" t="s">
        <v>398</v>
      </c>
    </row>
    <row r="87" spans="1:30" ht="15" customHeight="1" x14ac:dyDescent="0.25">
      <c r="A87">
        <v>45368</v>
      </c>
      <c r="B87" s="1">
        <v>45950</v>
      </c>
      <c r="C87" t="s">
        <v>53</v>
      </c>
      <c r="D87" t="s">
        <v>70</v>
      </c>
      <c r="E87" s="1">
        <v>45955</v>
      </c>
      <c r="F87" s="1">
        <v>45955</v>
      </c>
      <c r="G87" t="s">
        <v>145</v>
      </c>
      <c r="H87">
        <v>70566389</v>
      </c>
      <c r="I87" t="s">
        <v>664</v>
      </c>
      <c r="J87" t="str">
        <f>IF(
   COUNTIFS(
      $E$2:E87,TRIM(UPPER(E87)),
      $G$2:G87,TRIM(UPPER(G87)),
      $C$2:C87,TEXT(C87,"aaaa-mm-dd"),
      $I$2:I87,TEXT(I87,"0")
   )&gt;1,
   "Duplicado",
   "Único"
)</f>
        <v>Único</v>
      </c>
      <c r="K87">
        <v>3166666860</v>
      </c>
      <c r="L87" t="s">
        <v>665</v>
      </c>
      <c r="M87" s="1">
        <v>24172</v>
      </c>
      <c r="N87">
        <v>59</v>
      </c>
      <c r="O87">
        <v>1</v>
      </c>
      <c r="P87" t="s">
        <v>61</v>
      </c>
      <c r="Q87" t="s">
        <v>390</v>
      </c>
      <c r="R87" t="s">
        <v>666</v>
      </c>
      <c r="S87" t="s">
        <v>667</v>
      </c>
      <c r="T87" t="s">
        <v>668</v>
      </c>
      <c r="U87" s="2">
        <v>45950.010384490743</v>
      </c>
      <c r="V87" t="s">
        <v>37</v>
      </c>
      <c r="W87" t="s">
        <v>38</v>
      </c>
      <c r="AD87" t="s">
        <v>669</v>
      </c>
    </row>
    <row r="88" spans="1:30" ht="15" customHeight="1" x14ac:dyDescent="0.25">
      <c r="A88">
        <v>45367</v>
      </c>
      <c r="B88" s="1">
        <v>45950</v>
      </c>
      <c r="C88" t="s">
        <v>53</v>
      </c>
      <c r="D88" t="s">
        <v>81</v>
      </c>
      <c r="E88" s="1">
        <v>45955</v>
      </c>
      <c r="F88" s="1">
        <v>45955</v>
      </c>
      <c r="G88" t="s">
        <v>82</v>
      </c>
      <c r="H88">
        <v>70566389</v>
      </c>
      <c r="I88" t="s">
        <v>664</v>
      </c>
      <c r="J88" t="str">
        <f>IF(
   COUNTIFS(
      $E$2:E88,TRIM(UPPER(E88)),
      $G$2:G88,TRIM(UPPER(G88)),
      $C$2:C88,TEXT(C88,"aaaa-mm-dd"),
      $I$2:I88,TEXT(I88,"0")
   )&gt;1,
   "Duplicado",
   "Único"
)</f>
        <v>Único</v>
      </c>
      <c r="K88">
        <v>3166666860</v>
      </c>
      <c r="L88" t="s">
        <v>665</v>
      </c>
      <c r="M88" s="1">
        <v>24172</v>
      </c>
      <c r="N88">
        <v>59</v>
      </c>
      <c r="O88">
        <v>1</v>
      </c>
      <c r="P88" t="s">
        <v>61</v>
      </c>
      <c r="Q88" t="s">
        <v>390</v>
      </c>
      <c r="R88" t="s">
        <v>666</v>
      </c>
      <c r="S88" t="s">
        <v>667</v>
      </c>
      <c r="T88" t="s">
        <v>668</v>
      </c>
      <c r="U88" s="2">
        <v>45950.010376851853</v>
      </c>
      <c r="V88" t="s">
        <v>37</v>
      </c>
      <c r="W88" t="s">
        <v>89</v>
      </c>
      <c r="AD88" t="s">
        <v>670</v>
      </c>
    </row>
    <row r="89" spans="1:30" ht="15" customHeight="1" x14ac:dyDescent="0.25">
      <c r="A89">
        <v>42017</v>
      </c>
      <c r="B89" s="1">
        <v>45933</v>
      </c>
      <c r="C89" t="s">
        <v>53</v>
      </c>
      <c r="D89" t="s">
        <v>70</v>
      </c>
      <c r="E89" s="1">
        <v>45938</v>
      </c>
      <c r="F89" s="1">
        <v>45938</v>
      </c>
      <c r="G89" t="s">
        <v>145</v>
      </c>
      <c r="H89">
        <v>70566389</v>
      </c>
      <c r="I89" t="s">
        <v>664</v>
      </c>
      <c r="J89" t="str">
        <f>IF(
   COUNTIFS(
      $E$2:E89,TRIM(UPPER(E89)),
      $G$2:G89,TRIM(UPPER(G89)),
      $C$2:C89,TEXT(C89,"aaaa-mm-dd"),
      $I$2:I89,TEXT(I89,"0")
   )&gt;1,
   "Duplicado",
   "Único"
)</f>
        <v>Único</v>
      </c>
      <c r="K89">
        <v>3166666860</v>
      </c>
      <c r="L89" t="s">
        <v>665</v>
      </c>
      <c r="M89" s="1">
        <v>24172</v>
      </c>
      <c r="N89">
        <v>59</v>
      </c>
      <c r="O89">
        <v>1</v>
      </c>
      <c r="P89" t="s">
        <v>61</v>
      </c>
      <c r="Q89" t="s">
        <v>390</v>
      </c>
      <c r="R89" t="s">
        <v>666</v>
      </c>
      <c r="S89" t="s">
        <v>667</v>
      </c>
      <c r="T89" t="s">
        <v>668</v>
      </c>
      <c r="U89" s="2">
        <v>45933.010097685183</v>
      </c>
      <c r="V89" t="s">
        <v>37</v>
      </c>
      <c r="W89" t="s">
        <v>116</v>
      </c>
      <c r="AD89" t="s">
        <v>669</v>
      </c>
    </row>
    <row r="90" spans="1:30" ht="15" customHeight="1" x14ac:dyDescent="0.25">
      <c r="A90">
        <v>42016</v>
      </c>
      <c r="B90" s="1">
        <v>45933</v>
      </c>
      <c r="C90" t="s">
        <v>53</v>
      </c>
      <c r="D90" t="s">
        <v>81</v>
      </c>
      <c r="E90" s="1">
        <v>45938</v>
      </c>
      <c r="F90" s="1">
        <v>45938</v>
      </c>
      <c r="G90" t="s">
        <v>82</v>
      </c>
      <c r="H90">
        <v>70566389</v>
      </c>
      <c r="I90" t="s">
        <v>664</v>
      </c>
      <c r="J90" t="str">
        <f>IF(
   COUNTIFS(
      $E$2:E90,TRIM(UPPER(E90)),
      $G$2:G90,TRIM(UPPER(G90)),
      $C$2:C90,TEXT(C90,"aaaa-mm-dd"),
      $I$2:I90,TEXT(I90,"0")
   )&gt;1,
   "Duplicado",
   "Único"
)</f>
        <v>Único</v>
      </c>
      <c r="K90">
        <v>3166666860</v>
      </c>
      <c r="L90" t="s">
        <v>665</v>
      </c>
      <c r="M90" s="1">
        <v>24172</v>
      </c>
      <c r="N90">
        <v>59</v>
      </c>
      <c r="O90">
        <v>1</v>
      </c>
      <c r="P90" t="s">
        <v>61</v>
      </c>
      <c r="Q90" t="s">
        <v>390</v>
      </c>
      <c r="R90" t="s">
        <v>666</v>
      </c>
      <c r="S90" t="s">
        <v>667</v>
      </c>
      <c r="T90" t="s">
        <v>668</v>
      </c>
      <c r="U90" s="2">
        <v>45933.010083796296</v>
      </c>
      <c r="V90" t="s">
        <v>37</v>
      </c>
      <c r="W90" t="s">
        <v>116</v>
      </c>
      <c r="AD90" t="s">
        <v>671</v>
      </c>
    </row>
    <row r="91" spans="1:30" ht="15" customHeight="1" x14ac:dyDescent="0.25">
      <c r="A91">
        <v>40290</v>
      </c>
      <c r="B91" s="1">
        <v>45925</v>
      </c>
      <c r="C91" t="s">
        <v>53</v>
      </c>
      <c r="D91" t="s">
        <v>54</v>
      </c>
      <c r="E91" s="1">
        <v>45933</v>
      </c>
      <c r="F91" s="1">
        <v>45933</v>
      </c>
      <c r="G91" t="s">
        <v>91</v>
      </c>
      <c r="H91">
        <v>70566389</v>
      </c>
      <c r="I91" t="s">
        <v>664</v>
      </c>
      <c r="J91" t="str">
        <f>IF(
   COUNTIFS(
      $E$2:E91,TRIM(UPPER(E91)),
      $G$2:G91,TRIM(UPPER(G91)),
      $C$2:C91,TEXT(C91,"aaaa-mm-dd"),
      $I$2:I91,TEXT(I91,"0")
   )&gt;1,
   "Duplicado",
   "Único"
)</f>
        <v>Único</v>
      </c>
      <c r="K91">
        <v>3166666860</v>
      </c>
      <c r="L91" t="s">
        <v>665</v>
      </c>
      <c r="M91" s="1">
        <v>24172</v>
      </c>
      <c r="N91">
        <v>59</v>
      </c>
      <c r="O91">
        <v>1</v>
      </c>
      <c r="P91" t="s">
        <v>61</v>
      </c>
      <c r="Q91" t="s">
        <v>390</v>
      </c>
      <c r="R91" t="s">
        <v>666</v>
      </c>
      <c r="S91" t="s">
        <v>667</v>
      </c>
      <c r="T91" t="s">
        <v>668</v>
      </c>
      <c r="U91" s="2">
        <v>45925.009505092596</v>
      </c>
      <c r="V91" t="s">
        <v>37</v>
      </c>
      <c r="W91" t="s">
        <v>38</v>
      </c>
      <c r="AD91" t="s">
        <v>672</v>
      </c>
    </row>
    <row r="92" spans="1:30" ht="15" customHeight="1" x14ac:dyDescent="0.25">
      <c r="A92">
        <v>45938</v>
      </c>
      <c r="B92" s="1">
        <v>45952</v>
      </c>
      <c r="C92" t="s">
        <v>53</v>
      </c>
      <c r="D92" t="s">
        <v>81</v>
      </c>
      <c r="E92" s="1">
        <v>45953</v>
      </c>
      <c r="F92" s="1">
        <v>45953</v>
      </c>
      <c r="G92" t="s">
        <v>122</v>
      </c>
      <c r="H92">
        <v>1143445583</v>
      </c>
      <c r="I92" t="s">
        <v>123</v>
      </c>
      <c r="J92" t="str">
        <f>IF(
   COUNTIFS(
      $E$2:E92,TRIM(UPPER(E92)),
      $G$2:G92,TRIM(UPPER(G92)),
      $C$2:C92,TEXT(C92,"aaaa-mm-dd"),
      $I$2:I92,TEXT(I92,"0")
   )&gt;1,
   "Duplicado",
   "Único"
)</f>
        <v>Único</v>
      </c>
      <c r="K92">
        <v>3006723980</v>
      </c>
      <c r="L92" t="s">
        <v>124</v>
      </c>
      <c r="M92" s="1">
        <v>34326</v>
      </c>
      <c r="N92">
        <v>31</v>
      </c>
      <c r="O92">
        <v>1</v>
      </c>
      <c r="P92" t="s">
        <v>99</v>
      </c>
      <c r="Q92" t="s">
        <v>125</v>
      </c>
      <c r="R92" t="s">
        <v>86</v>
      </c>
      <c r="S92" t="s">
        <v>126</v>
      </c>
      <c r="T92" t="s">
        <v>127</v>
      </c>
      <c r="U92" s="2">
        <v>45952.011391203705</v>
      </c>
      <c r="V92" t="s">
        <v>37</v>
      </c>
      <c r="W92" t="s">
        <v>89</v>
      </c>
      <c r="AD92" t="s">
        <v>128</v>
      </c>
    </row>
    <row r="93" spans="1:30" ht="15" customHeight="1" x14ac:dyDescent="0.25">
      <c r="A93">
        <v>42637</v>
      </c>
      <c r="B93" s="1">
        <v>45936</v>
      </c>
      <c r="C93" t="s">
        <v>53</v>
      </c>
      <c r="D93" t="s">
        <v>54</v>
      </c>
      <c r="E93" s="1">
        <v>45936</v>
      </c>
      <c r="F93" s="1">
        <v>45936</v>
      </c>
      <c r="G93" t="s">
        <v>122</v>
      </c>
      <c r="H93">
        <v>1143445583</v>
      </c>
      <c r="I93" t="s">
        <v>123</v>
      </c>
      <c r="J93" t="str">
        <f>IF(
   COUNTIFS(
      $E$2:E93,TRIM(UPPER(E93)),
      $G$2:G93,TRIM(UPPER(G93)),
      $C$2:C93,TEXT(C93,"aaaa-mm-dd"),
      $I$2:I93,TEXT(I93,"0")
   )&gt;1,
   "Duplicado",
   "Único"
)</f>
        <v>Único</v>
      </c>
      <c r="K93">
        <v>3006723980</v>
      </c>
      <c r="L93" t="s">
        <v>124</v>
      </c>
      <c r="M93" s="1">
        <v>34326</v>
      </c>
      <c r="N93">
        <v>31</v>
      </c>
      <c r="O93">
        <v>1</v>
      </c>
      <c r="P93" t="s">
        <v>99</v>
      </c>
      <c r="Q93" t="s">
        <v>125</v>
      </c>
      <c r="R93" t="s">
        <v>86</v>
      </c>
      <c r="S93" t="s">
        <v>126</v>
      </c>
      <c r="T93" t="s">
        <v>127</v>
      </c>
      <c r="U93" s="2">
        <v>45936.006738310185</v>
      </c>
      <c r="V93" t="s">
        <v>37</v>
      </c>
      <c r="W93" t="s">
        <v>38</v>
      </c>
      <c r="AD93" t="s">
        <v>129</v>
      </c>
    </row>
    <row r="94" spans="1:30" ht="15" customHeight="1" x14ac:dyDescent="0.25">
      <c r="A94">
        <v>46280</v>
      </c>
      <c r="B94" s="1">
        <v>45954</v>
      </c>
      <c r="C94" t="s">
        <v>147</v>
      </c>
      <c r="D94" t="s">
        <v>81</v>
      </c>
      <c r="E94" s="1">
        <v>45954</v>
      </c>
      <c r="F94" s="1">
        <v>45954</v>
      </c>
      <c r="G94" t="s">
        <v>148</v>
      </c>
      <c r="H94">
        <v>72016249</v>
      </c>
      <c r="I94" t="s">
        <v>332</v>
      </c>
      <c r="J94" t="str">
        <f>IF(
   COUNTIFS(
      $E$2:E94,TRIM(UPPER(E94)),
      $G$2:G94,TRIM(UPPER(G94)),
      $C$2:C94,TEXT(C94,"aaaa-mm-dd"),
      $I$2:I94,TEXT(I94,"0")
   )&gt;1,
   "Duplicado",
   "Único"
)</f>
        <v>Único</v>
      </c>
      <c r="K94">
        <v>3504569527</v>
      </c>
      <c r="L94" t="s">
        <v>333</v>
      </c>
      <c r="M94" s="1">
        <v>26670</v>
      </c>
      <c r="N94">
        <v>52</v>
      </c>
      <c r="O94">
        <v>1</v>
      </c>
      <c r="P94" t="s">
        <v>61</v>
      </c>
      <c r="Q94" t="s">
        <v>334</v>
      </c>
      <c r="S94" t="s">
        <v>233</v>
      </c>
      <c r="T94" t="s">
        <v>335</v>
      </c>
      <c r="U94" s="2">
        <v>45954.006659722225</v>
      </c>
      <c r="V94" t="s">
        <v>37</v>
      </c>
      <c r="W94" t="s">
        <v>89</v>
      </c>
      <c r="AD94" t="s">
        <v>336</v>
      </c>
    </row>
    <row r="95" spans="1:30" ht="15" customHeight="1" x14ac:dyDescent="0.25">
      <c r="A95">
        <v>45667</v>
      </c>
      <c r="B95" s="1">
        <v>45951</v>
      </c>
      <c r="C95" t="s">
        <v>147</v>
      </c>
      <c r="D95" t="s">
        <v>81</v>
      </c>
      <c r="E95" s="1">
        <v>45951</v>
      </c>
      <c r="F95" s="1">
        <v>45951</v>
      </c>
      <c r="G95" t="s">
        <v>148</v>
      </c>
      <c r="H95">
        <v>72016249</v>
      </c>
      <c r="I95" t="s">
        <v>332</v>
      </c>
      <c r="J95" t="str">
        <f>IF(
   COUNTIFS(
      $E$2:E95,TRIM(UPPER(E95)),
      $G$2:G95,TRIM(UPPER(G95)),
      $C$2:C95,TEXT(C95,"aaaa-mm-dd"),
      $I$2:I95,TEXT(I95,"0")
   )&gt;1,
   "Duplicado",
   "Único"
)</f>
        <v>Único</v>
      </c>
      <c r="K95">
        <v>3504569527</v>
      </c>
      <c r="L95" t="s">
        <v>333</v>
      </c>
      <c r="M95" s="1">
        <v>26670</v>
      </c>
      <c r="N95">
        <v>52</v>
      </c>
      <c r="O95">
        <v>1</v>
      </c>
      <c r="P95" t="s">
        <v>61</v>
      </c>
      <c r="Q95" t="s">
        <v>334</v>
      </c>
      <c r="S95" t="s">
        <v>233</v>
      </c>
      <c r="T95" t="s">
        <v>335</v>
      </c>
      <c r="U95" s="2">
        <v>45951.00971377315</v>
      </c>
      <c r="V95" t="s">
        <v>37</v>
      </c>
      <c r="W95" t="s">
        <v>89</v>
      </c>
      <c r="AD95" t="s">
        <v>337</v>
      </c>
    </row>
    <row r="96" spans="1:30" ht="15" customHeight="1" x14ac:dyDescent="0.25">
      <c r="A96">
        <v>45081</v>
      </c>
      <c r="B96" s="1">
        <v>45948</v>
      </c>
      <c r="C96" t="s">
        <v>53</v>
      </c>
      <c r="D96" t="s">
        <v>81</v>
      </c>
      <c r="E96" s="1">
        <v>45950</v>
      </c>
      <c r="F96" s="1">
        <v>45950</v>
      </c>
      <c r="G96" t="s">
        <v>82</v>
      </c>
      <c r="H96">
        <v>72016249</v>
      </c>
      <c r="I96" t="s">
        <v>332</v>
      </c>
      <c r="J96" t="str">
        <f>IF(
   COUNTIFS(
      $E$2:E96,TRIM(UPPER(E96)),
      $G$2:G96,TRIM(UPPER(G96)),
      $C$2:C96,TEXT(C96,"aaaa-mm-dd"),
      $I$2:I96,TEXT(I96,"0")
   )&gt;1,
   "Duplicado",
   "Único"
)</f>
        <v>Único</v>
      </c>
      <c r="K96">
        <v>3504569527</v>
      </c>
      <c r="L96" t="s">
        <v>333</v>
      </c>
      <c r="M96" s="1">
        <v>26670</v>
      </c>
      <c r="N96">
        <v>52</v>
      </c>
      <c r="O96">
        <v>1</v>
      </c>
      <c r="P96" t="s">
        <v>61</v>
      </c>
      <c r="Q96" t="s">
        <v>334</v>
      </c>
      <c r="S96" t="s">
        <v>233</v>
      </c>
      <c r="T96" t="s">
        <v>335</v>
      </c>
      <c r="U96" s="2">
        <v>45948.008466203704</v>
      </c>
      <c r="V96" t="s">
        <v>37</v>
      </c>
      <c r="W96" t="s">
        <v>50</v>
      </c>
      <c r="AD96" t="s">
        <v>338</v>
      </c>
    </row>
    <row r="97" spans="1:30" ht="15" customHeight="1" x14ac:dyDescent="0.25">
      <c r="A97">
        <v>44889</v>
      </c>
      <c r="B97" s="1">
        <v>45947</v>
      </c>
      <c r="C97" t="s">
        <v>147</v>
      </c>
      <c r="D97" t="s">
        <v>81</v>
      </c>
      <c r="E97" s="1">
        <v>45948</v>
      </c>
      <c r="F97" s="1">
        <v>45948</v>
      </c>
      <c r="G97" t="s">
        <v>148</v>
      </c>
      <c r="H97">
        <v>72016249</v>
      </c>
      <c r="I97" t="s">
        <v>332</v>
      </c>
      <c r="J97" t="str">
        <f>IF(
   COUNTIFS(
      $E$2:E97,TRIM(UPPER(E97)),
      $G$2:G97,TRIM(UPPER(G97)),
      $C$2:C97,TEXT(C97,"aaaa-mm-dd"),
      $I$2:I97,TEXT(I97,"0")
   )&gt;1,
   "Duplicado",
   "Único"
)</f>
        <v>Único</v>
      </c>
      <c r="K97">
        <v>3504569527</v>
      </c>
      <c r="L97" t="s">
        <v>333</v>
      </c>
      <c r="M97" s="1">
        <v>26670</v>
      </c>
      <c r="N97">
        <v>52</v>
      </c>
      <c r="O97">
        <v>1</v>
      </c>
      <c r="P97" t="s">
        <v>61</v>
      </c>
      <c r="Q97" t="s">
        <v>334</v>
      </c>
      <c r="S97" t="s">
        <v>233</v>
      </c>
      <c r="T97" t="s">
        <v>335</v>
      </c>
      <c r="U97" s="2">
        <v>45947.010512037035</v>
      </c>
      <c r="V97" t="s">
        <v>37</v>
      </c>
      <c r="W97" t="s">
        <v>89</v>
      </c>
      <c r="AD97" t="s">
        <v>339</v>
      </c>
    </row>
    <row r="98" spans="1:30" ht="15" customHeight="1" x14ac:dyDescent="0.25">
      <c r="A98">
        <v>44179</v>
      </c>
      <c r="B98" s="1">
        <v>45944</v>
      </c>
      <c r="C98" t="s">
        <v>156</v>
      </c>
      <c r="D98" t="s">
        <v>828</v>
      </c>
      <c r="E98" s="1">
        <v>45947</v>
      </c>
      <c r="F98" s="1">
        <v>45947</v>
      </c>
      <c r="G98" t="s">
        <v>340</v>
      </c>
      <c r="H98">
        <v>72016249</v>
      </c>
      <c r="I98" t="s">
        <v>332</v>
      </c>
      <c r="J98" t="str">
        <f>IF(
   COUNTIFS(
      $E$2:E98,TRIM(UPPER(E98)),
      $G$2:G98,TRIM(UPPER(G98)),
      $C$2:C98,TEXT(C98,"aaaa-mm-dd"),
      $I$2:I98,TEXT(I98,"0")
   )&gt;1,
   "Duplicado",
   "Único"
)</f>
        <v>Único</v>
      </c>
      <c r="K98">
        <v>3504569527</v>
      </c>
      <c r="L98" t="s">
        <v>333</v>
      </c>
      <c r="M98" s="1">
        <v>26670</v>
      </c>
      <c r="N98">
        <v>52</v>
      </c>
      <c r="O98">
        <v>1</v>
      </c>
      <c r="P98" t="s">
        <v>61</v>
      </c>
      <c r="Q98" t="s">
        <v>334</v>
      </c>
      <c r="S98" t="s">
        <v>233</v>
      </c>
      <c r="T98" t="s">
        <v>335</v>
      </c>
      <c r="U98" s="2">
        <v>45944.011603703701</v>
      </c>
      <c r="V98" t="s">
        <v>37</v>
      </c>
      <c r="W98" t="s">
        <v>89</v>
      </c>
      <c r="AD98" t="s">
        <v>341</v>
      </c>
    </row>
    <row r="99" spans="1:30" ht="15" customHeight="1" x14ac:dyDescent="0.25">
      <c r="A99">
        <v>44176</v>
      </c>
      <c r="B99" s="1">
        <v>45944</v>
      </c>
      <c r="C99" t="s">
        <v>156</v>
      </c>
      <c r="D99" t="s">
        <v>828</v>
      </c>
      <c r="E99" s="1">
        <v>45946</v>
      </c>
      <c r="F99" s="1">
        <v>45946</v>
      </c>
      <c r="G99" t="s">
        <v>340</v>
      </c>
      <c r="H99">
        <v>72016249</v>
      </c>
      <c r="I99" t="s">
        <v>332</v>
      </c>
      <c r="J99" t="str">
        <f>IF(
   COUNTIFS(
      $E$2:E99,TRIM(UPPER(E99)),
      $G$2:G99,TRIM(UPPER(G99)),
      $C$2:C99,TEXT(C99,"aaaa-mm-dd"),
      $I$2:I99,TEXT(I99,"0")
   )&gt;1,
   "Duplicado",
   "Único"
)</f>
        <v>Único</v>
      </c>
      <c r="K99">
        <v>3504569527</v>
      </c>
      <c r="L99" t="s">
        <v>333</v>
      </c>
      <c r="M99" s="1">
        <v>26670</v>
      </c>
      <c r="N99">
        <v>52</v>
      </c>
      <c r="O99">
        <v>1</v>
      </c>
      <c r="P99" t="s">
        <v>61</v>
      </c>
      <c r="Q99" t="s">
        <v>334</v>
      </c>
      <c r="S99" t="s">
        <v>233</v>
      </c>
      <c r="T99" t="s">
        <v>335</v>
      </c>
      <c r="U99" s="2">
        <v>45944.011589699076</v>
      </c>
      <c r="V99" t="s">
        <v>37</v>
      </c>
      <c r="W99" t="s">
        <v>89</v>
      </c>
      <c r="AD99" t="s">
        <v>342</v>
      </c>
    </row>
    <row r="100" spans="1:30" ht="15" customHeight="1" x14ac:dyDescent="0.25">
      <c r="A100">
        <v>45081</v>
      </c>
      <c r="B100" s="1">
        <v>45948</v>
      </c>
      <c r="C100" t="s">
        <v>53</v>
      </c>
      <c r="D100" t="s">
        <v>81</v>
      </c>
      <c r="E100" s="1">
        <v>45950</v>
      </c>
      <c r="F100" s="1">
        <v>45950</v>
      </c>
      <c r="G100" t="s">
        <v>82</v>
      </c>
      <c r="H100">
        <v>72016249</v>
      </c>
      <c r="I100" t="s">
        <v>332</v>
      </c>
      <c r="J100" t="str">
        <f>IF(
   COUNTIFS(
      $E$2:E100,TRIM(UPPER(E100)),
      $G$2:G100,TRIM(UPPER(G100)),
      $C$2:C100,TEXT(C100,"aaaa-mm-dd"),
      $I$2:I100,TEXT(I100,"0")
   )&gt;1,
   "Duplicado",
   "Único"
)</f>
        <v>Único</v>
      </c>
      <c r="K100">
        <v>3504569527</v>
      </c>
      <c r="L100" t="s">
        <v>333</v>
      </c>
      <c r="M100" s="1">
        <v>26670</v>
      </c>
      <c r="N100">
        <v>52</v>
      </c>
      <c r="O100">
        <v>1</v>
      </c>
      <c r="P100" t="s">
        <v>61</v>
      </c>
      <c r="Q100" t="s">
        <v>334</v>
      </c>
      <c r="S100" t="s">
        <v>233</v>
      </c>
      <c r="T100" t="s">
        <v>335</v>
      </c>
      <c r="U100" s="2">
        <v>45948.008466203704</v>
      </c>
      <c r="V100" t="s">
        <v>37</v>
      </c>
      <c r="W100" t="s">
        <v>50</v>
      </c>
      <c r="AD100" t="s">
        <v>338</v>
      </c>
    </row>
    <row r="101" spans="1:30" ht="15" customHeight="1" x14ac:dyDescent="0.25">
      <c r="A101">
        <v>45601</v>
      </c>
      <c r="B101" s="1">
        <v>45951</v>
      </c>
      <c r="C101" t="s">
        <v>57</v>
      </c>
      <c r="D101" t="s">
        <v>54</v>
      </c>
      <c r="E101" s="1">
        <v>45958</v>
      </c>
      <c r="F101" s="1">
        <v>45958</v>
      </c>
      <c r="G101" t="s">
        <v>57</v>
      </c>
      <c r="H101">
        <v>72144800</v>
      </c>
      <c r="I101" t="s">
        <v>779</v>
      </c>
      <c r="J101" t="str">
        <f>IF(
   COUNTIFS(
      $E$2:E101,TRIM(UPPER(E101)),
      $G$2:G101,TRIM(UPPER(G101)),
      $C$2:C101,TEXT(C101,"aaaa-mm-dd"),
      $I$2:I101,TEXT(I101,"0")
   )&gt;1,
   "Duplicado",
   "Único"
)</f>
        <v>Único</v>
      </c>
      <c r="K101">
        <v>3006558304</v>
      </c>
      <c r="L101" t="s">
        <v>780</v>
      </c>
      <c r="P101" t="s">
        <v>99</v>
      </c>
      <c r="Q101" t="s">
        <v>334</v>
      </c>
      <c r="R101" t="s">
        <v>85</v>
      </c>
      <c r="S101" t="s">
        <v>781</v>
      </c>
      <c r="U101" s="2">
        <v>45951.007425000003</v>
      </c>
      <c r="V101" t="s">
        <v>37</v>
      </c>
      <c r="W101" t="s">
        <v>50</v>
      </c>
      <c r="AD101" t="s">
        <v>365</v>
      </c>
    </row>
    <row r="102" spans="1:30" ht="15" customHeight="1" x14ac:dyDescent="0.25">
      <c r="A102">
        <v>45520</v>
      </c>
      <c r="B102" s="1">
        <v>45951</v>
      </c>
      <c r="C102" t="s">
        <v>29</v>
      </c>
      <c r="D102" t="s">
        <v>81</v>
      </c>
      <c r="E102" s="1">
        <v>45951</v>
      </c>
      <c r="F102" s="1">
        <v>45951</v>
      </c>
      <c r="G102" t="s">
        <v>30</v>
      </c>
      <c r="H102">
        <v>9395585</v>
      </c>
      <c r="I102" t="s">
        <v>173</v>
      </c>
      <c r="J102" t="str">
        <f>IF(
   COUNTIFS(
      $E$2:E102,TRIM(UPPER(E102)),
      $G$2:G102,TRIM(UPPER(G102)),
      $C$2:C102,TEXT(C102,"aaaa-mm-dd"),
      $I$2:I102,TEXT(I102,"0")
   )&gt;1,
   "Duplicado",
   "Único"
)</f>
        <v>Único</v>
      </c>
      <c r="K102">
        <v>7573101488</v>
      </c>
      <c r="L102" t="s">
        <v>174</v>
      </c>
      <c r="M102" s="1">
        <v>24869</v>
      </c>
      <c r="N102">
        <v>57</v>
      </c>
      <c r="O102">
        <v>1</v>
      </c>
      <c r="P102" t="s">
        <v>61</v>
      </c>
      <c r="Q102" t="s">
        <v>175</v>
      </c>
      <c r="S102" t="s">
        <v>176</v>
      </c>
      <c r="T102" t="s">
        <v>177</v>
      </c>
      <c r="U102" s="2">
        <v>45951.006678356483</v>
      </c>
      <c r="V102" t="s">
        <v>37</v>
      </c>
      <c r="W102" t="s">
        <v>94</v>
      </c>
      <c r="X102" s="3" t="s">
        <v>178</v>
      </c>
      <c r="Y102" t="s">
        <v>67</v>
      </c>
      <c r="Z102" t="s">
        <v>67</v>
      </c>
      <c r="AA102" t="s">
        <v>68</v>
      </c>
      <c r="AB102" t="s">
        <v>68</v>
      </c>
      <c r="AC102" t="s">
        <v>68</v>
      </c>
      <c r="AD102" t="s">
        <v>179</v>
      </c>
    </row>
    <row r="103" spans="1:30" ht="15" customHeight="1" x14ac:dyDescent="0.25">
      <c r="A103">
        <v>21391</v>
      </c>
      <c r="B103" s="1">
        <v>45782</v>
      </c>
      <c r="C103" t="s">
        <v>29</v>
      </c>
      <c r="D103" t="s">
        <v>70</v>
      </c>
      <c r="E103" s="1">
        <v>45940</v>
      </c>
      <c r="F103" s="1">
        <v>45940</v>
      </c>
      <c r="G103" t="s">
        <v>30</v>
      </c>
      <c r="H103">
        <v>9395585</v>
      </c>
      <c r="I103" t="s">
        <v>173</v>
      </c>
      <c r="J103" t="str">
        <f>IF(
   COUNTIFS(
      $E$2:E103,TRIM(UPPER(E103)),
      $G$2:G103,TRIM(UPPER(G103)),
      $C$2:C103,TEXT(C103,"aaaa-mm-dd"),
      $I$2:I103,TEXT(I103,"0")
   )&gt;1,
   "Duplicado",
   "Único"
)</f>
        <v>Único</v>
      </c>
      <c r="K103">
        <v>7573101488</v>
      </c>
      <c r="L103" t="s">
        <v>174</v>
      </c>
      <c r="M103" s="1">
        <v>24869</v>
      </c>
      <c r="N103">
        <v>57</v>
      </c>
      <c r="O103">
        <v>1</v>
      </c>
      <c r="P103" t="s">
        <v>61</v>
      </c>
      <c r="Q103" t="s">
        <v>175</v>
      </c>
      <c r="S103" t="s">
        <v>176</v>
      </c>
      <c r="T103" t="s">
        <v>177</v>
      </c>
      <c r="U103" s="2">
        <v>45782.006413194445</v>
      </c>
      <c r="V103" t="s">
        <v>37</v>
      </c>
      <c r="W103" t="s">
        <v>50</v>
      </c>
      <c r="X103" s="3" t="s">
        <v>178</v>
      </c>
      <c r="Y103" t="s">
        <v>67</v>
      </c>
      <c r="Z103" t="s">
        <v>67</v>
      </c>
      <c r="AA103" t="s">
        <v>68</v>
      </c>
      <c r="AB103" t="s">
        <v>68</v>
      </c>
      <c r="AC103" t="s">
        <v>68</v>
      </c>
      <c r="AD103" t="s">
        <v>180</v>
      </c>
    </row>
    <row r="104" spans="1:30" ht="15" customHeight="1" x14ac:dyDescent="0.25">
      <c r="A104">
        <v>46373</v>
      </c>
      <c r="B104" s="1">
        <v>45954</v>
      </c>
      <c r="C104" t="s">
        <v>57</v>
      </c>
      <c r="D104" t="s">
        <v>828</v>
      </c>
      <c r="E104" s="1">
        <v>45957</v>
      </c>
      <c r="F104" s="1">
        <v>45957</v>
      </c>
      <c r="G104" t="s">
        <v>57</v>
      </c>
      <c r="H104">
        <v>32727089</v>
      </c>
      <c r="I104" t="s">
        <v>702</v>
      </c>
      <c r="J104" t="str">
        <f>IF(
   COUNTIFS(
      $E$2:E104,TRIM(UPPER(E104)),
      $G$2:G104,TRIM(UPPER(G104)),
      $C$2:C104,TEXT(C104,"aaaa-mm-dd"),
      $I$2:I104,TEXT(I104,"0")
   )&gt;1,
   "Duplicado",
   "Único"
)</f>
        <v>Único</v>
      </c>
      <c r="K104">
        <v>3243702421</v>
      </c>
      <c r="L104" t="s">
        <v>703</v>
      </c>
      <c r="P104" t="s">
        <v>321</v>
      </c>
      <c r="Q104" t="s">
        <v>704</v>
      </c>
      <c r="S104" t="s">
        <v>705</v>
      </c>
      <c r="U104" s="2">
        <v>45954.009703009258</v>
      </c>
      <c r="V104" t="s">
        <v>37</v>
      </c>
      <c r="W104" t="s">
        <v>50</v>
      </c>
      <c r="AD104" t="s">
        <v>365</v>
      </c>
    </row>
    <row r="105" spans="1:30" ht="15" customHeight="1" x14ac:dyDescent="0.25">
      <c r="A105">
        <v>45376</v>
      </c>
      <c r="B105" s="1">
        <v>45950</v>
      </c>
      <c r="C105" t="s">
        <v>53</v>
      </c>
      <c r="D105" t="s">
        <v>70</v>
      </c>
      <c r="E105" s="1">
        <v>45955</v>
      </c>
      <c r="F105" s="1">
        <v>45955</v>
      </c>
      <c r="G105" t="s">
        <v>91</v>
      </c>
      <c r="H105">
        <v>1011326322</v>
      </c>
      <c r="I105" t="s">
        <v>235</v>
      </c>
      <c r="J105" t="str">
        <f>IF(
   COUNTIFS(
      $E$2:E105,TRIM(UPPER(E105)),
      $G$2:G105,TRIM(UPPER(G105)),
      $C$2:C105,TEXT(C105,"aaaa-mm-dd"),
      $I$2:I105,TEXT(I105,"0")
   )&gt;1,
   "Duplicado",
   "Único"
)</f>
        <v>Único</v>
      </c>
      <c r="K105">
        <v>3213961685</v>
      </c>
      <c r="L105" t="s">
        <v>236</v>
      </c>
      <c r="M105" s="1">
        <v>40223</v>
      </c>
      <c r="N105">
        <v>15</v>
      </c>
      <c r="O105">
        <v>1</v>
      </c>
      <c r="P105" t="s">
        <v>61</v>
      </c>
      <c r="Q105" t="s">
        <v>237</v>
      </c>
      <c r="S105" t="s">
        <v>238</v>
      </c>
      <c r="T105" t="s">
        <v>239</v>
      </c>
      <c r="U105" s="2">
        <v>45950.010584837961</v>
      </c>
      <c r="V105" t="s">
        <v>37</v>
      </c>
      <c r="W105" t="s">
        <v>38</v>
      </c>
      <c r="AD105" t="s">
        <v>240</v>
      </c>
    </row>
    <row r="106" spans="1:30" ht="15" customHeight="1" x14ac:dyDescent="0.25">
      <c r="A106">
        <v>42219</v>
      </c>
      <c r="B106" s="1">
        <v>45934</v>
      </c>
      <c r="C106" t="s">
        <v>53</v>
      </c>
      <c r="D106" t="s">
        <v>70</v>
      </c>
      <c r="E106" s="1">
        <v>45941</v>
      </c>
      <c r="F106" s="1">
        <v>45941</v>
      </c>
      <c r="G106" t="s">
        <v>145</v>
      </c>
      <c r="H106">
        <v>1011326322</v>
      </c>
      <c r="I106" t="s">
        <v>235</v>
      </c>
      <c r="J106" t="str">
        <f>IF(
   COUNTIFS(
      $E$2:E106,TRIM(UPPER(E106)),
      $G$2:G106,TRIM(UPPER(G106)),
      $C$2:C106,TEXT(C106,"aaaa-mm-dd"),
      $I$2:I106,TEXT(I106,"0")
   )&gt;1,
   "Duplicado",
   "Único"
)</f>
        <v>Único</v>
      </c>
      <c r="K106">
        <v>3213961685</v>
      </c>
      <c r="L106" t="s">
        <v>236</v>
      </c>
      <c r="M106" s="1">
        <v>40223</v>
      </c>
      <c r="N106">
        <v>15</v>
      </c>
      <c r="O106">
        <v>1</v>
      </c>
      <c r="P106" t="s">
        <v>61</v>
      </c>
      <c r="Q106" t="s">
        <v>237</v>
      </c>
      <c r="S106" t="s">
        <v>238</v>
      </c>
      <c r="T106" t="s">
        <v>239</v>
      </c>
      <c r="U106" s="2">
        <v>45934.007650462961</v>
      </c>
      <c r="V106" t="s">
        <v>37</v>
      </c>
      <c r="W106" t="s">
        <v>116</v>
      </c>
      <c r="AD106" t="s">
        <v>241</v>
      </c>
    </row>
    <row r="107" spans="1:30" ht="15" customHeight="1" x14ac:dyDescent="0.25">
      <c r="A107">
        <v>42214</v>
      </c>
      <c r="B107" s="1">
        <v>45934</v>
      </c>
      <c r="C107" t="s">
        <v>53</v>
      </c>
      <c r="D107" t="s">
        <v>81</v>
      </c>
      <c r="E107" s="1">
        <v>45941</v>
      </c>
      <c r="F107" s="1">
        <v>45941</v>
      </c>
      <c r="G107" t="s">
        <v>82</v>
      </c>
      <c r="H107">
        <v>1011326322</v>
      </c>
      <c r="I107" t="s">
        <v>235</v>
      </c>
      <c r="J107" t="str">
        <f>IF(
   COUNTIFS(
      $E$2:E107,TRIM(UPPER(E107)),
      $G$2:G107,TRIM(UPPER(G107)),
      $C$2:C107,TEXT(C107,"aaaa-mm-dd"),
      $I$2:I107,TEXT(I107,"0")
   )&gt;1,
   "Duplicado",
   "Único"
)</f>
        <v>Único</v>
      </c>
      <c r="K107">
        <v>3213961685</v>
      </c>
      <c r="L107" t="s">
        <v>236</v>
      </c>
      <c r="M107" s="1">
        <v>40223</v>
      </c>
      <c r="N107">
        <v>15</v>
      </c>
      <c r="O107">
        <v>1</v>
      </c>
      <c r="P107" t="s">
        <v>61</v>
      </c>
      <c r="Q107" t="s">
        <v>237</v>
      </c>
      <c r="S107" t="s">
        <v>238</v>
      </c>
      <c r="T107" t="s">
        <v>239</v>
      </c>
      <c r="U107" s="2">
        <v>45934.007640509262</v>
      </c>
      <c r="V107" t="s">
        <v>37</v>
      </c>
      <c r="W107" t="s">
        <v>116</v>
      </c>
      <c r="AD107" t="s">
        <v>242</v>
      </c>
    </row>
    <row r="108" spans="1:30" ht="15" customHeight="1" x14ac:dyDescent="0.25">
      <c r="A108">
        <v>41253</v>
      </c>
      <c r="B108" s="1">
        <v>45931</v>
      </c>
      <c r="C108" t="s">
        <v>53</v>
      </c>
      <c r="D108" t="s">
        <v>54</v>
      </c>
      <c r="E108" s="1">
        <v>45934</v>
      </c>
      <c r="F108" s="1">
        <v>45934</v>
      </c>
      <c r="G108" t="s">
        <v>91</v>
      </c>
      <c r="H108">
        <v>1011326322</v>
      </c>
      <c r="I108" t="s">
        <v>235</v>
      </c>
      <c r="J108" t="str">
        <f>IF(
   COUNTIFS(
      $E$2:E108,TRIM(UPPER(E108)),
      $G$2:G108,TRIM(UPPER(G108)),
      $C$2:C108,TEXT(C108,"aaaa-mm-dd"),
      $I$2:I108,TEXT(I108,"0")
   )&gt;1,
   "Duplicado",
   "Único"
)</f>
        <v>Único</v>
      </c>
      <c r="K108">
        <v>3213961685</v>
      </c>
      <c r="L108" t="s">
        <v>236</v>
      </c>
      <c r="M108" s="1">
        <v>40223</v>
      </c>
      <c r="N108">
        <v>15</v>
      </c>
      <c r="O108">
        <v>1</v>
      </c>
      <c r="P108" t="s">
        <v>61</v>
      </c>
      <c r="Q108" t="s">
        <v>237</v>
      </c>
      <c r="S108" t="s">
        <v>238</v>
      </c>
      <c r="T108" t="s">
        <v>239</v>
      </c>
      <c r="U108" s="2">
        <v>45931.006633101853</v>
      </c>
      <c r="V108" t="s">
        <v>37</v>
      </c>
      <c r="W108" t="s">
        <v>38</v>
      </c>
      <c r="AD108" t="s">
        <v>243</v>
      </c>
    </row>
    <row r="109" spans="1:30" ht="15" customHeight="1" x14ac:dyDescent="0.25">
      <c r="A109">
        <v>44090</v>
      </c>
      <c r="B109" s="1">
        <v>45944</v>
      </c>
      <c r="C109" t="s">
        <v>53</v>
      </c>
      <c r="D109" t="s">
        <v>54</v>
      </c>
      <c r="E109" s="1">
        <v>45944</v>
      </c>
      <c r="F109" s="1">
        <v>45944</v>
      </c>
      <c r="G109" t="s">
        <v>145</v>
      </c>
      <c r="H109">
        <v>1011326322</v>
      </c>
      <c r="I109" t="s">
        <v>235</v>
      </c>
      <c r="J109" t="str">
        <f>IF(
   COUNTIFS(
      $E$2:E109,TRIM(UPPER(E109)),
      $G$2:G109,TRIM(UPPER(G109)),
      $C$2:C109,TEXT(C109,"aaaa-mm-dd"),
      $I$2:I109,TEXT(I109,"0")
   )&gt;1,
   "Duplicado",
   "Único"
)</f>
        <v>Único</v>
      </c>
      <c r="K109">
        <v>3213961685</v>
      </c>
      <c r="L109" t="s">
        <v>236</v>
      </c>
      <c r="M109" s="1">
        <v>40223</v>
      </c>
      <c r="N109">
        <v>15</v>
      </c>
      <c r="O109">
        <v>1</v>
      </c>
      <c r="P109" t="s">
        <v>61</v>
      </c>
      <c r="Q109" t="s">
        <v>237</v>
      </c>
      <c r="S109" t="s">
        <v>238</v>
      </c>
      <c r="T109" t="s">
        <v>239</v>
      </c>
      <c r="U109" s="2">
        <v>45944.009353703703</v>
      </c>
      <c r="V109" t="s">
        <v>37</v>
      </c>
      <c r="W109" t="s">
        <v>38</v>
      </c>
      <c r="AD109" t="s">
        <v>244</v>
      </c>
    </row>
    <row r="110" spans="1:30" ht="15" customHeight="1" x14ac:dyDescent="0.25">
      <c r="A110">
        <v>44088</v>
      </c>
      <c r="B110" s="1">
        <v>45944</v>
      </c>
      <c r="C110" t="s">
        <v>53</v>
      </c>
      <c r="D110" t="s">
        <v>81</v>
      </c>
      <c r="E110" s="1">
        <v>45944</v>
      </c>
      <c r="F110" s="1">
        <v>45944</v>
      </c>
      <c r="G110" t="s">
        <v>82</v>
      </c>
      <c r="H110">
        <v>1011326322</v>
      </c>
      <c r="I110" t="s">
        <v>235</v>
      </c>
      <c r="J110" t="str">
        <f>IF(
   COUNTIFS(
      $E$2:E110,TRIM(UPPER(E110)),
      $G$2:G110,TRIM(UPPER(G110)),
      $C$2:C110,TEXT(C110,"aaaa-mm-dd"),
      $I$2:I110,TEXT(I110,"0")
   )&gt;1,
   "Duplicado",
   "Único"
)</f>
        <v>Único</v>
      </c>
      <c r="K110">
        <v>3213961685</v>
      </c>
      <c r="L110" t="s">
        <v>236</v>
      </c>
      <c r="M110" s="1">
        <v>40223</v>
      </c>
      <c r="N110">
        <v>15</v>
      </c>
      <c r="O110">
        <v>1</v>
      </c>
      <c r="P110" t="s">
        <v>61</v>
      </c>
      <c r="Q110" t="s">
        <v>237</v>
      </c>
      <c r="S110" t="s">
        <v>238</v>
      </c>
      <c r="T110" t="s">
        <v>239</v>
      </c>
      <c r="U110" s="2">
        <v>45944.009335532406</v>
      </c>
      <c r="V110" t="s">
        <v>37</v>
      </c>
      <c r="W110" t="s">
        <v>38</v>
      </c>
      <c r="AD110" t="s">
        <v>245</v>
      </c>
    </row>
    <row r="111" spans="1:30" ht="15" customHeight="1" x14ac:dyDescent="0.25">
      <c r="A111">
        <v>47111</v>
      </c>
      <c r="B111" s="1">
        <v>45958</v>
      </c>
      <c r="C111" t="s">
        <v>57</v>
      </c>
      <c r="D111" t="s">
        <v>157</v>
      </c>
      <c r="E111" s="1">
        <v>45959</v>
      </c>
      <c r="F111" s="1">
        <v>45959</v>
      </c>
      <c r="G111" t="s">
        <v>57</v>
      </c>
      <c r="H111">
        <v>398193</v>
      </c>
      <c r="I111" t="s">
        <v>726</v>
      </c>
      <c r="J111" t="str">
        <f>IF(
   COUNTIFS(
      $E$2:E111,TRIM(UPPER(E111)),
      $G$2:G111,TRIM(UPPER(G111)),
      $C$2:C111,TEXT(C111,"aaaa-mm-dd"),
      $I$2:I111,TEXT(I111,"0")
   )&gt;1,
   "Duplicado",
   "Único"
)</f>
        <v>Único</v>
      </c>
      <c r="K111">
        <v>3125119464</v>
      </c>
      <c r="L111" t="s">
        <v>727</v>
      </c>
      <c r="M111" s="1">
        <v>31026</v>
      </c>
      <c r="N111">
        <v>40</v>
      </c>
      <c r="O111">
        <v>1</v>
      </c>
      <c r="P111" t="s">
        <v>99</v>
      </c>
      <c r="Q111" t="s">
        <v>728</v>
      </c>
      <c r="R111" t="s">
        <v>402</v>
      </c>
      <c r="S111" t="s">
        <v>729</v>
      </c>
      <c r="U111" s="2">
        <v>45958.011453125</v>
      </c>
      <c r="V111" t="s">
        <v>37</v>
      </c>
      <c r="W111" t="s">
        <v>38</v>
      </c>
      <c r="AD111" t="s">
        <v>730</v>
      </c>
    </row>
    <row r="112" spans="1:30" ht="15" customHeight="1" x14ac:dyDescent="0.25">
      <c r="A112">
        <v>45338</v>
      </c>
      <c r="B112" s="1">
        <v>45950</v>
      </c>
      <c r="C112" t="s">
        <v>57</v>
      </c>
      <c r="D112" t="s">
        <v>54</v>
      </c>
      <c r="E112" s="1">
        <v>45950</v>
      </c>
      <c r="F112" s="1">
        <v>45950</v>
      </c>
      <c r="G112" t="s">
        <v>57</v>
      </c>
      <c r="H112">
        <v>398193</v>
      </c>
      <c r="I112" t="s">
        <v>726</v>
      </c>
      <c r="J112" t="str">
        <f>IF(
   COUNTIFS(
      $E$2:E112,TRIM(UPPER(E112)),
      $G$2:G112,TRIM(UPPER(G112)),
      $C$2:C112,TEXT(C112,"aaaa-mm-dd"),
      $I$2:I112,TEXT(I112,"0")
   )&gt;1,
   "Duplicado",
   "Único"
)</f>
        <v>Único</v>
      </c>
      <c r="K112">
        <v>3125119464</v>
      </c>
      <c r="L112" t="s">
        <v>727</v>
      </c>
      <c r="M112" s="1">
        <v>31026</v>
      </c>
      <c r="N112">
        <v>40</v>
      </c>
      <c r="O112">
        <v>1</v>
      </c>
      <c r="P112" t="s">
        <v>99</v>
      </c>
      <c r="Q112" t="s">
        <v>728</v>
      </c>
      <c r="R112" t="s">
        <v>402</v>
      </c>
      <c r="S112" t="s">
        <v>729</v>
      </c>
      <c r="U112" s="2">
        <v>45950.009734722225</v>
      </c>
      <c r="V112" t="s">
        <v>37</v>
      </c>
      <c r="W112" t="s">
        <v>38</v>
      </c>
      <c r="AD112" t="s">
        <v>731</v>
      </c>
    </row>
    <row r="113" spans="1:30" ht="15" customHeight="1" x14ac:dyDescent="0.25">
      <c r="A113">
        <v>40505</v>
      </c>
      <c r="B113" s="1">
        <v>45926</v>
      </c>
      <c r="C113" t="s">
        <v>57</v>
      </c>
      <c r="D113" t="s">
        <v>70</v>
      </c>
      <c r="E113" s="1">
        <v>45933</v>
      </c>
      <c r="F113" s="1">
        <v>45933</v>
      </c>
      <c r="G113" t="s">
        <v>57</v>
      </c>
      <c r="H113">
        <v>73578549</v>
      </c>
      <c r="I113" t="s">
        <v>470</v>
      </c>
      <c r="J113" t="str">
        <f>IF(
   COUNTIFS(
      $E$2:E113,TRIM(UPPER(E113)),
      $G$2:G113,TRIM(UPPER(G113)),
      $C$2:C113,TEXT(C113,"aaaa-mm-dd"),
      $I$2:I113,TEXT(I113,"0")
   )&gt;1,
   "Duplicado",
   "Único"
)</f>
        <v>Único</v>
      </c>
      <c r="K113">
        <v>3168883329</v>
      </c>
      <c r="L113" t="s">
        <v>471</v>
      </c>
      <c r="M113" s="1">
        <v>28101</v>
      </c>
      <c r="N113">
        <v>48</v>
      </c>
      <c r="O113">
        <v>1</v>
      </c>
      <c r="P113" t="s">
        <v>359</v>
      </c>
      <c r="Q113" t="s">
        <v>472</v>
      </c>
      <c r="R113" t="s">
        <v>184</v>
      </c>
      <c r="S113" t="s">
        <v>383</v>
      </c>
      <c r="T113" t="s">
        <v>473</v>
      </c>
      <c r="U113" s="2">
        <v>45926.011059722223</v>
      </c>
      <c r="V113" t="s">
        <v>37</v>
      </c>
      <c r="W113" t="s">
        <v>38</v>
      </c>
      <c r="X113" s="3" t="s">
        <v>474</v>
      </c>
      <c r="Y113" t="s">
        <v>67</v>
      </c>
      <c r="Z113" t="s">
        <v>40</v>
      </c>
      <c r="AA113" t="s">
        <v>68</v>
      </c>
      <c r="AB113" t="s">
        <v>68</v>
      </c>
      <c r="AC113" t="s">
        <v>68</v>
      </c>
      <c r="AD113" t="s">
        <v>475</v>
      </c>
    </row>
    <row r="114" spans="1:30" ht="15" customHeight="1" x14ac:dyDescent="0.25">
      <c r="A114">
        <v>40344</v>
      </c>
      <c r="B114" s="1">
        <v>45925</v>
      </c>
      <c r="C114" t="s">
        <v>276</v>
      </c>
      <c r="D114" t="s">
        <v>54</v>
      </c>
      <c r="E114" s="1">
        <v>45931</v>
      </c>
      <c r="F114" s="1">
        <v>45931</v>
      </c>
      <c r="G114" t="s">
        <v>277</v>
      </c>
      <c r="H114">
        <v>1140837519</v>
      </c>
      <c r="I114" t="s">
        <v>278</v>
      </c>
      <c r="J114" t="str">
        <f>IF(
   COUNTIFS(
      $E$2:E114,TRIM(UPPER(E114)),
      $G$2:G114,TRIM(UPPER(G114)),
      $C$2:C114,TEXT(C114,"aaaa-mm-dd"),
      $I$2:I114,TEXT(I114,"0")
   )&gt;1,
   "Duplicado",
   "Único"
)</f>
        <v>Único</v>
      </c>
      <c r="K114">
        <v>3017746799</v>
      </c>
      <c r="L114" t="s">
        <v>279</v>
      </c>
      <c r="M114" s="1">
        <v>33267</v>
      </c>
      <c r="N114">
        <v>34</v>
      </c>
      <c r="O114">
        <v>1</v>
      </c>
      <c r="P114" t="s">
        <v>32</v>
      </c>
      <c r="Q114" t="s">
        <v>280</v>
      </c>
      <c r="R114" t="s">
        <v>76</v>
      </c>
      <c r="S114" t="s">
        <v>65</v>
      </c>
      <c r="T114" t="s">
        <v>281</v>
      </c>
      <c r="U114" s="2">
        <v>45925.010891550926</v>
      </c>
      <c r="V114" t="s">
        <v>282</v>
      </c>
      <c r="W114" t="s">
        <v>116</v>
      </c>
      <c r="AD114" t="s">
        <v>283</v>
      </c>
    </row>
    <row r="115" spans="1:30" ht="15" customHeight="1" x14ac:dyDescent="0.25">
      <c r="A115">
        <v>45640</v>
      </c>
      <c r="B115" s="1">
        <v>45951</v>
      </c>
      <c r="C115" t="s">
        <v>57</v>
      </c>
      <c r="D115" t="s">
        <v>70</v>
      </c>
      <c r="E115" s="1">
        <v>45954</v>
      </c>
      <c r="F115" s="1">
        <v>45954</v>
      </c>
      <c r="G115" t="s">
        <v>57</v>
      </c>
      <c r="H115">
        <v>72334631</v>
      </c>
      <c r="I115" t="s">
        <v>555</v>
      </c>
      <c r="J115" t="str">
        <f>IF(
   COUNTIFS(
      $E$2:E115,TRIM(UPPER(E115)),
      $G$2:G115,TRIM(UPPER(G115)),
      $C$2:C115,TEXT(C115,"aaaa-mm-dd"),
      $I$2:I115,TEXT(I115,"0")
   )&gt;1,
   "Duplicado",
   "Único"
)</f>
        <v>Único</v>
      </c>
      <c r="K115">
        <v>3182679513</v>
      </c>
      <c r="L115" t="s">
        <v>556</v>
      </c>
      <c r="M115" s="1">
        <v>30954</v>
      </c>
      <c r="N115">
        <v>41</v>
      </c>
      <c r="O115">
        <v>1</v>
      </c>
      <c r="P115" t="s">
        <v>359</v>
      </c>
      <c r="Q115" t="s">
        <v>361</v>
      </c>
      <c r="R115" t="s">
        <v>353</v>
      </c>
      <c r="S115" t="s">
        <v>557</v>
      </c>
      <c r="T115" t="s">
        <v>558</v>
      </c>
      <c r="U115" s="2">
        <v>45951.008444328705</v>
      </c>
      <c r="V115" t="s">
        <v>37</v>
      </c>
      <c r="W115" t="s">
        <v>38</v>
      </c>
      <c r="X115" t="s">
        <v>66</v>
      </c>
      <c r="Y115" t="s">
        <v>67</v>
      </c>
      <c r="Z115" t="s">
        <v>68</v>
      </c>
      <c r="AA115" t="s">
        <v>68</v>
      </c>
      <c r="AB115" t="s">
        <v>68</v>
      </c>
      <c r="AC115" t="s">
        <v>68</v>
      </c>
      <c r="AD115" t="s">
        <v>365</v>
      </c>
    </row>
    <row r="116" spans="1:30" ht="15" customHeight="1" x14ac:dyDescent="0.25">
      <c r="A116">
        <v>45495</v>
      </c>
      <c r="B116" s="1">
        <v>45951</v>
      </c>
      <c r="C116" t="s">
        <v>57</v>
      </c>
      <c r="D116" t="s">
        <v>828</v>
      </c>
      <c r="E116" s="1">
        <v>45951</v>
      </c>
      <c r="F116" s="1">
        <v>45951</v>
      </c>
      <c r="G116" t="s">
        <v>57</v>
      </c>
      <c r="H116">
        <v>72334631</v>
      </c>
      <c r="I116" t="s">
        <v>555</v>
      </c>
      <c r="J116" t="str">
        <f>IF(
   COUNTIFS(
      $E$2:E116,TRIM(UPPER(E116)),
      $G$2:G116,TRIM(UPPER(G116)),
      $C$2:C116,TEXT(C116,"aaaa-mm-dd"),
      $I$2:I116,TEXT(I116,"0")
   )&gt;1,
   "Duplicado",
   "Único"
)</f>
        <v>Único</v>
      </c>
      <c r="K116">
        <v>3182679513</v>
      </c>
      <c r="L116" t="s">
        <v>556</v>
      </c>
      <c r="M116" s="1">
        <v>30954</v>
      </c>
      <c r="N116">
        <v>41</v>
      </c>
      <c r="O116">
        <v>1</v>
      </c>
      <c r="P116" t="s">
        <v>359</v>
      </c>
      <c r="Q116" t="s">
        <v>361</v>
      </c>
      <c r="R116" t="s">
        <v>353</v>
      </c>
      <c r="S116" t="s">
        <v>557</v>
      </c>
      <c r="T116" t="s">
        <v>558</v>
      </c>
      <c r="U116" s="2">
        <v>45951.005972685183</v>
      </c>
      <c r="V116" t="s">
        <v>37</v>
      </c>
      <c r="W116" t="s">
        <v>50</v>
      </c>
      <c r="X116" t="s">
        <v>66</v>
      </c>
      <c r="Y116" t="s">
        <v>67</v>
      </c>
      <c r="Z116" t="s">
        <v>68</v>
      </c>
      <c r="AA116" t="s">
        <v>68</v>
      </c>
      <c r="AB116" t="s">
        <v>68</v>
      </c>
      <c r="AC116" t="s">
        <v>68</v>
      </c>
      <c r="AD116" t="s">
        <v>365</v>
      </c>
    </row>
    <row r="117" spans="1:30" ht="15" customHeight="1" x14ac:dyDescent="0.25">
      <c r="A117">
        <v>42140</v>
      </c>
      <c r="B117" s="1">
        <v>45934</v>
      </c>
      <c r="C117" t="s">
        <v>147</v>
      </c>
      <c r="D117" t="s">
        <v>81</v>
      </c>
      <c r="E117" s="1">
        <v>45936</v>
      </c>
      <c r="F117" s="1">
        <v>45936</v>
      </c>
      <c r="G117" t="s">
        <v>207</v>
      </c>
      <c r="H117">
        <v>1110362411</v>
      </c>
      <c r="I117" t="s">
        <v>208</v>
      </c>
      <c r="J117" t="str">
        <f>IF(
   COUNTIFS(
      $E$2:E117,TRIM(UPPER(E117)),
      $G$2:G117,TRIM(UPPER(G117)),
      $C$2:C117,TEXT(C117,"aaaa-mm-dd"),
      $I$2:I117,TEXT(I117,"0")
   )&gt;1,
   "Duplicado",
   "Único"
)</f>
        <v>Único</v>
      </c>
      <c r="K117">
        <v>3004409058</v>
      </c>
      <c r="L117" t="s">
        <v>209</v>
      </c>
      <c r="M117" s="1">
        <v>38031</v>
      </c>
      <c r="N117">
        <v>21</v>
      </c>
      <c r="O117">
        <v>1</v>
      </c>
      <c r="P117" t="s">
        <v>32</v>
      </c>
      <c r="Q117" t="s">
        <v>210</v>
      </c>
      <c r="R117" t="s">
        <v>86</v>
      </c>
      <c r="S117" t="s">
        <v>211</v>
      </c>
      <c r="T117" t="s">
        <v>212</v>
      </c>
      <c r="U117" s="2">
        <v>45934.007205439812</v>
      </c>
      <c r="V117" t="s">
        <v>37</v>
      </c>
      <c r="W117" t="s">
        <v>89</v>
      </c>
      <c r="AD117" t="s">
        <v>213</v>
      </c>
    </row>
    <row r="118" spans="1:30" ht="15" customHeight="1" x14ac:dyDescent="0.25">
      <c r="A118">
        <v>13520</v>
      </c>
      <c r="B118" s="1">
        <v>45705</v>
      </c>
      <c r="C118" t="s">
        <v>830</v>
      </c>
      <c r="D118" t="s">
        <v>828</v>
      </c>
      <c r="E118" s="1">
        <v>45952</v>
      </c>
      <c r="F118" s="1">
        <v>45952</v>
      </c>
      <c r="G118" t="s">
        <v>71</v>
      </c>
      <c r="H118">
        <v>1110362411</v>
      </c>
      <c r="I118" t="s">
        <v>208</v>
      </c>
      <c r="J118" t="str">
        <f>IF(
   COUNTIFS(
      $E$2:E118,TRIM(UPPER(E118)),
      $G$2:G118,TRIM(UPPER(G118)),
      $C$2:C118,TEXT(C118,"aaaa-mm-dd"),
      $I$2:I118,TEXT(I118,"0")
   )&gt;1,
   "Duplicado",
   "Único"
)</f>
        <v>Único</v>
      </c>
      <c r="K118">
        <v>3004409058</v>
      </c>
      <c r="L118" t="s">
        <v>209</v>
      </c>
      <c r="M118" s="1">
        <v>38031</v>
      </c>
      <c r="N118">
        <v>21</v>
      </c>
      <c r="O118">
        <v>1</v>
      </c>
      <c r="P118" t="s">
        <v>32</v>
      </c>
      <c r="Q118" t="s">
        <v>210</v>
      </c>
      <c r="R118" t="s">
        <v>86</v>
      </c>
      <c r="S118" t="s">
        <v>211</v>
      </c>
      <c r="T118" t="s">
        <v>212</v>
      </c>
      <c r="U118" s="2">
        <v>45705.00821284722</v>
      </c>
      <c r="V118" t="s">
        <v>37</v>
      </c>
      <c r="W118" t="s">
        <v>50</v>
      </c>
      <c r="AD118" t="s">
        <v>214</v>
      </c>
    </row>
    <row r="119" spans="1:30" ht="15" customHeight="1" x14ac:dyDescent="0.25">
      <c r="A119">
        <v>45812</v>
      </c>
      <c r="B119" s="1">
        <v>45952</v>
      </c>
      <c r="C119" t="s">
        <v>57</v>
      </c>
      <c r="D119" t="s">
        <v>70</v>
      </c>
      <c r="E119" s="1">
        <v>45954</v>
      </c>
      <c r="F119" s="1">
        <v>45954</v>
      </c>
      <c r="G119" t="s">
        <v>57</v>
      </c>
      <c r="H119">
        <v>7173444</v>
      </c>
      <c r="I119" t="s">
        <v>593</v>
      </c>
      <c r="J119" t="str">
        <f>IF(
   COUNTIFS(
      $E$2:E119,TRIM(UPPER(E119)),
      $G$2:G119,TRIM(UPPER(G119)),
      $C$2:C119,TEXT(C119,"aaaa-mm-dd"),
      $I$2:I119,TEXT(I119,"0")
   )&gt;1,
   "Duplicado",
   "Único"
)</f>
        <v>Único</v>
      </c>
      <c r="K119">
        <v>3215398866</v>
      </c>
      <c r="L119" t="s">
        <v>594</v>
      </c>
      <c r="M119" s="1">
        <v>28168</v>
      </c>
      <c r="N119">
        <v>48</v>
      </c>
      <c r="O119">
        <v>1</v>
      </c>
      <c r="P119" t="s">
        <v>359</v>
      </c>
      <c r="Q119" t="s">
        <v>595</v>
      </c>
      <c r="S119" t="s">
        <v>317</v>
      </c>
      <c r="T119" t="s">
        <v>596</v>
      </c>
      <c r="U119" s="2">
        <v>45952.007781944441</v>
      </c>
      <c r="V119" t="s">
        <v>37</v>
      </c>
      <c r="W119" t="s">
        <v>38</v>
      </c>
      <c r="X119" t="s">
        <v>533</v>
      </c>
      <c r="Y119" t="s">
        <v>67</v>
      </c>
      <c r="Z119" t="s">
        <v>68</v>
      </c>
      <c r="AA119" t="s">
        <v>68</v>
      </c>
      <c r="AB119" t="s">
        <v>68</v>
      </c>
      <c r="AC119" t="s">
        <v>68</v>
      </c>
      <c r="AD119" t="s">
        <v>597</v>
      </c>
    </row>
    <row r="120" spans="1:30" ht="15" customHeight="1" x14ac:dyDescent="0.25">
      <c r="A120">
        <v>47318</v>
      </c>
      <c r="B120" s="1">
        <v>45959</v>
      </c>
      <c r="C120" t="s">
        <v>57</v>
      </c>
      <c r="D120" t="s">
        <v>70</v>
      </c>
      <c r="E120" s="1">
        <v>45961</v>
      </c>
      <c r="F120" s="1">
        <v>45961</v>
      </c>
      <c r="G120" t="s">
        <v>57</v>
      </c>
      <c r="H120">
        <v>72357146</v>
      </c>
      <c r="I120" t="s">
        <v>366</v>
      </c>
      <c r="J120" t="str">
        <f>IF(
   COUNTIFS(
      $E$2:E120,TRIM(UPPER(E120)),
      $G$2:G120,TRIM(UPPER(G120)),
      $C$2:C120,TEXT(C120,"aaaa-mm-dd"),
      $I$2:I120,TEXT(I120,"0")
   )&gt;1,
   "Duplicado",
   "Único"
)</f>
        <v>Único</v>
      </c>
      <c r="K120">
        <v>3004724345</v>
      </c>
      <c r="L120" t="s">
        <v>367</v>
      </c>
      <c r="M120" s="1">
        <v>31314</v>
      </c>
      <c r="N120">
        <v>40</v>
      </c>
      <c r="O120">
        <v>1</v>
      </c>
      <c r="P120" t="s">
        <v>45</v>
      </c>
      <c r="Q120" t="s">
        <v>368</v>
      </c>
      <c r="R120" t="s">
        <v>369</v>
      </c>
      <c r="S120" t="s">
        <v>370</v>
      </c>
      <c r="T120" t="s">
        <v>371</v>
      </c>
      <c r="U120" s="2">
        <v>45959.011496412037</v>
      </c>
      <c r="V120" t="s">
        <v>37</v>
      </c>
      <c r="W120" t="s">
        <v>38</v>
      </c>
      <c r="X120" s="3" t="s">
        <v>372</v>
      </c>
      <c r="Y120" t="s">
        <v>67</v>
      </c>
      <c r="Z120" t="s">
        <v>67</v>
      </c>
      <c r="AA120" t="s">
        <v>68</v>
      </c>
      <c r="AB120" t="s">
        <v>68</v>
      </c>
      <c r="AC120" t="s">
        <v>68</v>
      </c>
      <c r="AD120" t="s">
        <v>58</v>
      </c>
    </row>
    <row r="121" spans="1:30" ht="15" customHeight="1" x14ac:dyDescent="0.25">
      <c r="A121">
        <v>45092</v>
      </c>
      <c r="B121" s="1">
        <v>45948</v>
      </c>
      <c r="C121" t="s">
        <v>57</v>
      </c>
      <c r="D121" t="s">
        <v>70</v>
      </c>
      <c r="E121" s="1">
        <v>45950</v>
      </c>
      <c r="F121" s="1">
        <v>45950</v>
      </c>
      <c r="G121" t="s">
        <v>57</v>
      </c>
      <c r="H121">
        <v>72357146</v>
      </c>
      <c r="I121" t="s">
        <v>366</v>
      </c>
      <c r="J121" t="str">
        <f>IF(
   COUNTIFS(
      $E$2:E121,TRIM(UPPER(E121)),
      $G$2:G121,TRIM(UPPER(G121)),
      $C$2:C121,TEXT(C121,"aaaa-mm-dd"),
      $I$2:I121,TEXT(I121,"0")
   )&gt;1,
   "Duplicado",
   "Único"
)</f>
        <v>Único</v>
      </c>
      <c r="K121">
        <v>3004724345</v>
      </c>
      <c r="L121" t="s">
        <v>367</v>
      </c>
      <c r="M121" s="1">
        <v>31314</v>
      </c>
      <c r="N121">
        <v>40</v>
      </c>
      <c r="O121">
        <v>1</v>
      </c>
      <c r="P121" t="s">
        <v>45</v>
      </c>
      <c r="Q121" t="s">
        <v>368</v>
      </c>
      <c r="R121" t="s">
        <v>369</v>
      </c>
      <c r="S121" t="s">
        <v>370</v>
      </c>
      <c r="T121" t="s">
        <v>371</v>
      </c>
      <c r="U121" s="2">
        <v>45948.008892708334</v>
      </c>
      <c r="V121" t="s">
        <v>37</v>
      </c>
      <c r="W121" t="s">
        <v>116</v>
      </c>
      <c r="X121" s="3" t="s">
        <v>372</v>
      </c>
      <c r="Y121" t="s">
        <v>67</v>
      </c>
      <c r="Z121" t="s">
        <v>67</v>
      </c>
      <c r="AA121" t="s">
        <v>68</v>
      </c>
      <c r="AB121" t="s">
        <v>68</v>
      </c>
      <c r="AC121" t="s">
        <v>68</v>
      </c>
      <c r="AD121" t="s">
        <v>373</v>
      </c>
    </row>
    <row r="122" spans="1:30" ht="15" customHeight="1" x14ac:dyDescent="0.25">
      <c r="A122">
        <v>40237</v>
      </c>
      <c r="B122" s="1">
        <v>45925</v>
      </c>
      <c r="C122" t="s">
        <v>57</v>
      </c>
      <c r="D122" t="s">
        <v>54</v>
      </c>
      <c r="E122" s="1">
        <v>45932</v>
      </c>
      <c r="F122" s="1">
        <v>45932</v>
      </c>
      <c r="G122" t="s">
        <v>57</v>
      </c>
      <c r="H122">
        <v>72341200</v>
      </c>
      <c r="I122" t="s">
        <v>741</v>
      </c>
      <c r="J122" t="str">
        <f>IF(
   COUNTIFS(
      $E$2:E122,TRIM(UPPER(E122)),
      $G$2:G122,TRIM(UPPER(G122)),
      $C$2:C122,TEXT(C122,"aaaa-mm-dd"),
      $I$2:I122,TEXT(I122,"0")
   )&gt;1,
   "Duplicado",
   "Único"
)</f>
        <v>Único</v>
      </c>
      <c r="K122">
        <v>3002962055</v>
      </c>
      <c r="L122" t="s">
        <v>742</v>
      </c>
      <c r="P122" t="s">
        <v>321</v>
      </c>
      <c r="Q122" t="s">
        <v>360</v>
      </c>
      <c r="R122" t="s">
        <v>361</v>
      </c>
      <c r="S122" t="s">
        <v>743</v>
      </c>
      <c r="T122" t="s">
        <v>459</v>
      </c>
      <c r="U122" s="2">
        <v>45925.007454282408</v>
      </c>
      <c r="V122" t="s">
        <v>37</v>
      </c>
      <c r="W122" t="s">
        <v>50</v>
      </c>
      <c r="AD122" t="s">
        <v>365</v>
      </c>
    </row>
    <row r="123" spans="1:30" ht="15" customHeight="1" x14ac:dyDescent="0.25">
      <c r="A123">
        <v>46054</v>
      </c>
      <c r="B123" s="1">
        <v>45953</v>
      </c>
      <c r="C123" t="s">
        <v>57</v>
      </c>
      <c r="D123" t="s">
        <v>70</v>
      </c>
      <c r="E123" s="1">
        <v>45954</v>
      </c>
      <c r="F123" s="1">
        <v>45954</v>
      </c>
      <c r="G123" t="s">
        <v>57</v>
      </c>
      <c r="H123">
        <v>93449858</v>
      </c>
      <c r="I123" t="s">
        <v>357</v>
      </c>
      <c r="J123" t="str">
        <f>IF(
   COUNTIFS(
      $E$2:E123,TRIM(UPPER(E123)),
      $G$2:G123,TRIM(UPPER(G123)),
      $C$2:C123,TEXT(C123,"aaaa-mm-dd"),
      $I$2:I123,TEXT(I123,"0")
   )&gt;1,
   "Duplicado",
   "Único"
)</f>
        <v>Único</v>
      </c>
      <c r="K123">
        <v>3017542811</v>
      </c>
      <c r="L123" t="s">
        <v>358</v>
      </c>
      <c r="M123" s="1">
        <v>26867</v>
      </c>
      <c r="N123">
        <v>52</v>
      </c>
      <c r="O123">
        <v>1</v>
      </c>
      <c r="P123" t="s">
        <v>359</v>
      </c>
      <c r="Q123" t="s">
        <v>360</v>
      </c>
      <c r="R123" t="s">
        <v>361</v>
      </c>
      <c r="S123" t="s">
        <v>362</v>
      </c>
      <c r="T123" t="s">
        <v>363</v>
      </c>
      <c r="U123" s="2">
        <v>45953.007355092595</v>
      </c>
      <c r="V123" t="s">
        <v>37</v>
      </c>
      <c r="W123" t="s">
        <v>38</v>
      </c>
      <c r="X123" s="3" t="s">
        <v>364</v>
      </c>
      <c r="Y123" t="s">
        <v>40</v>
      </c>
      <c r="Z123" t="s">
        <v>40</v>
      </c>
      <c r="AA123" t="s">
        <v>68</v>
      </c>
      <c r="AB123" t="s">
        <v>68</v>
      </c>
      <c r="AC123" t="s">
        <v>68</v>
      </c>
      <c r="AD123" t="s">
        <v>365</v>
      </c>
    </row>
    <row r="124" spans="1:30" ht="15" customHeight="1" x14ac:dyDescent="0.25">
      <c r="A124">
        <v>40011</v>
      </c>
      <c r="B124" s="1">
        <v>45923</v>
      </c>
      <c r="C124" t="s">
        <v>57</v>
      </c>
      <c r="D124" t="s">
        <v>828</v>
      </c>
      <c r="E124" s="1">
        <v>45933</v>
      </c>
      <c r="F124" s="1">
        <v>45933</v>
      </c>
      <c r="G124" t="s">
        <v>57</v>
      </c>
      <c r="H124">
        <v>1001870680</v>
      </c>
      <c r="I124" t="s">
        <v>476</v>
      </c>
      <c r="J124" t="str">
        <f>IF(
   COUNTIFS(
      $E$2:E124,TRIM(UPPER(E124)),
      $G$2:G124,TRIM(UPPER(G124)),
      $C$2:C124,TEXT(C124,"aaaa-mm-dd"),
      $I$2:I124,TEXT(I124,"0")
   )&gt;1,
   "Duplicado",
   "Único"
)</f>
        <v>Único</v>
      </c>
      <c r="K124">
        <v>3167448488</v>
      </c>
      <c r="L124" t="s">
        <v>477</v>
      </c>
      <c r="M124" s="1">
        <v>32718</v>
      </c>
      <c r="N124">
        <v>36</v>
      </c>
      <c r="O124">
        <v>1</v>
      </c>
      <c r="P124" t="s">
        <v>183</v>
      </c>
      <c r="Q124" t="s">
        <v>478</v>
      </c>
      <c r="R124" t="s">
        <v>479</v>
      </c>
      <c r="S124" t="s">
        <v>325</v>
      </c>
      <c r="T124" t="s">
        <v>480</v>
      </c>
      <c r="U124" s="2">
        <v>45923.010443402774</v>
      </c>
      <c r="V124" t="s">
        <v>37</v>
      </c>
      <c r="W124" t="s">
        <v>38</v>
      </c>
      <c r="X124" s="3" t="s">
        <v>39</v>
      </c>
      <c r="AD124" t="s">
        <v>481</v>
      </c>
    </row>
    <row r="125" spans="1:30" ht="15" customHeight="1" x14ac:dyDescent="0.25">
      <c r="A125">
        <v>41272</v>
      </c>
      <c r="B125" s="1">
        <v>45931</v>
      </c>
      <c r="C125" t="s">
        <v>29</v>
      </c>
      <c r="D125" t="s">
        <v>70</v>
      </c>
      <c r="E125" s="1">
        <v>45940</v>
      </c>
      <c r="F125" s="1">
        <v>45940</v>
      </c>
      <c r="G125" t="s">
        <v>42</v>
      </c>
      <c r="H125">
        <v>1140839400</v>
      </c>
      <c r="I125" t="s">
        <v>246</v>
      </c>
      <c r="J125" t="str">
        <f>IF(
   COUNTIFS(
      $E$2:E125,TRIM(UPPER(E125)),
      $G$2:G125,TRIM(UPPER(G125)),
      $C$2:C125,TEXT(C125,"aaaa-mm-dd"),
      $I$2:I125,TEXT(I125,"0")
   )&gt;1,
   "Duplicado",
   "Único"
)</f>
        <v>Único</v>
      </c>
      <c r="K125">
        <v>3017246241</v>
      </c>
      <c r="L125" t="s">
        <v>247</v>
      </c>
      <c r="M125" s="1">
        <v>33310</v>
      </c>
      <c r="N125">
        <v>34</v>
      </c>
      <c r="O125">
        <v>1</v>
      </c>
      <c r="P125" t="s">
        <v>61</v>
      </c>
      <c r="Q125" t="s">
        <v>62</v>
      </c>
      <c r="R125" t="s">
        <v>248</v>
      </c>
      <c r="S125" t="s">
        <v>249</v>
      </c>
      <c r="T125" t="s">
        <v>250</v>
      </c>
      <c r="U125" s="2">
        <v>45931.007259953702</v>
      </c>
      <c r="V125" t="s">
        <v>37</v>
      </c>
      <c r="W125" t="s">
        <v>94</v>
      </c>
      <c r="X125" s="3" t="s">
        <v>39</v>
      </c>
      <c r="Y125" t="s">
        <v>163</v>
      </c>
      <c r="AD125" t="s">
        <v>251</v>
      </c>
    </row>
    <row r="126" spans="1:30" ht="15" customHeight="1" x14ac:dyDescent="0.25">
      <c r="A126">
        <v>43488</v>
      </c>
      <c r="B126" s="1">
        <v>45940</v>
      </c>
      <c r="C126" t="s">
        <v>29</v>
      </c>
      <c r="D126" t="s">
        <v>70</v>
      </c>
      <c r="E126" s="1">
        <v>45944</v>
      </c>
      <c r="F126" s="1">
        <v>45944</v>
      </c>
      <c r="G126" t="s">
        <v>42</v>
      </c>
      <c r="H126">
        <v>1140839400</v>
      </c>
      <c r="I126" t="s">
        <v>246</v>
      </c>
      <c r="J126" t="str">
        <f>IF(
   COUNTIFS(
      $E$2:E126,TRIM(UPPER(E126)),
      $G$2:G126,TRIM(UPPER(G126)),
      $C$2:C126,TEXT(C126,"aaaa-mm-dd"),
      $I$2:I126,TEXT(I126,"0")
   )&gt;1,
   "Duplicado",
   "Único"
)</f>
        <v>Único</v>
      </c>
      <c r="K126">
        <v>3017246241</v>
      </c>
      <c r="L126" t="s">
        <v>247</v>
      </c>
      <c r="M126" s="1">
        <v>33310</v>
      </c>
      <c r="N126">
        <v>34</v>
      </c>
      <c r="O126">
        <v>1</v>
      </c>
      <c r="P126" t="s">
        <v>61</v>
      </c>
      <c r="Q126" t="s">
        <v>62</v>
      </c>
      <c r="R126" t="s">
        <v>248</v>
      </c>
      <c r="S126" t="s">
        <v>249</v>
      </c>
      <c r="T126" t="s">
        <v>250</v>
      </c>
      <c r="U126" s="2">
        <v>45940.006021990739</v>
      </c>
      <c r="V126" t="s">
        <v>37</v>
      </c>
      <c r="W126" t="s">
        <v>50</v>
      </c>
      <c r="X126" s="3" t="s">
        <v>39</v>
      </c>
      <c r="Y126" t="s">
        <v>163</v>
      </c>
      <c r="AD126" t="s">
        <v>251</v>
      </c>
    </row>
    <row r="127" spans="1:30" ht="15" customHeight="1" x14ac:dyDescent="0.25">
      <c r="A127">
        <v>41770</v>
      </c>
      <c r="B127" s="1">
        <v>45932</v>
      </c>
      <c r="C127" t="s">
        <v>29</v>
      </c>
      <c r="D127" t="s">
        <v>54</v>
      </c>
      <c r="E127" s="1">
        <v>45933</v>
      </c>
      <c r="F127" s="1">
        <v>45933</v>
      </c>
      <c r="G127" t="s">
        <v>30</v>
      </c>
      <c r="H127">
        <v>7369614</v>
      </c>
      <c r="I127" t="s">
        <v>59</v>
      </c>
      <c r="J127" t="str">
        <f>IF(
   COUNTIFS(
      $E$2:E127,TRIM(UPPER(E127)),
      $G$2:G127,TRIM(UPPER(G127)),
      $C$2:C127,TEXT(C127,"aaaa-mm-dd"),
      $I$2:I127,TEXT(I127,"0")
   )&gt;1,
   "Duplicado",
   "Único"
)</f>
        <v>Único</v>
      </c>
      <c r="K127">
        <v>3023762711</v>
      </c>
      <c r="L127" t="s">
        <v>60</v>
      </c>
      <c r="M127" s="1">
        <v>30716</v>
      </c>
      <c r="N127">
        <v>41</v>
      </c>
      <c r="O127">
        <v>1</v>
      </c>
      <c r="P127" t="s">
        <v>61</v>
      </c>
      <c r="Q127" t="s">
        <v>62</v>
      </c>
      <c r="R127" t="s">
        <v>63</v>
      </c>
      <c r="S127" t="s">
        <v>64</v>
      </c>
      <c r="T127" t="s">
        <v>65</v>
      </c>
      <c r="U127" s="2">
        <v>45932.011556481484</v>
      </c>
      <c r="V127" t="s">
        <v>37</v>
      </c>
      <c r="W127" t="s">
        <v>38</v>
      </c>
      <c r="X127" t="s">
        <v>66</v>
      </c>
      <c r="Y127" t="s">
        <v>67</v>
      </c>
      <c r="Z127" t="s">
        <v>68</v>
      </c>
      <c r="AA127" t="s">
        <v>68</v>
      </c>
      <c r="AB127" t="s">
        <v>68</v>
      </c>
      <c r="AC127" t="s">
        <v>68</v>
      </c>
      <c r="AD127" t="s">
        <v>69</v>
      </c>
    </row>
    <row r="128" spans="1:30" ht="15" customHeight="1" x14ac:dyDescent="0.25">
      <c r="A128">
        <v>47123</v>
      </c>
      <c r="B128" s="1">
        <v>45958</v>
      </c>
      <c r="C128" t="s">
        <v>830</v>
      </c>
      <c r="D128" t="s">
        <v>81</v>
      </c>
      <c r="E128" s="1">
        <v>45959</v>
      </c>
      <c r="F128" s="1">
        <v>45959</v>
      </c>
      <c r="G128" t="s">
        <v>831</v>
      </c>
      <c r="H128">
        <v>94372020</v>
      </c>
      <c r="I128" t="s">
        <v>284</v>
      </c>
      <c r="J128" t="str">
        <f>IF(
   COUNTIFS(
      $E$2:E128,TRIM(UPPER(E128)),
      $G$2:G128,TRIM(UPPER(G128)),
      $C$2:C128,TEXT(C128,"aaaa-mm-dd"),
      $I$2:I128,TEXT(I128,"0")
   )&gt;1,
   "Duplicado",
   "Único"
)</f>
        <v>Único</v>
      </c>
      <c r="K128">
        <v>3147925507</v>
      </c>
      <c r="L128" t="s">
        <v>285</v>
      </c>
      <c r="M128" s="1">
        <v>26308</v>
      </c>
      <c r="N128">
        <v>53</v>
      </c>
      <c r="O128">
        <v>1</v>
      </c>
      <c r="P128" t="s">
        <v>61</v>
      </c>
      <c r="Q128" t="s">
        <v>225</v>
      </c>
      <c r="R128" t="s">
        <v>286</v>
      </c>
      <c r="S128" t="s">
        <v>287</v>
      </c>
      <c r="T128" t="s">
        <v>288</v>
      </c>
      <c r="U128" s="2">
        <v>45958.011821412038</v>
      </c>
      <c r="V128" t="s">
        <v>37</v>
      </c>
      <c r="W128" t="s">
        <v>89</v>
      </c>
      <c r="AD128" t="s">
        <v>289</v>
      </c>
    </row>
    <row r="129" spans="1:30" ht="15" customHeight="1" x14ac:dyDescent="0.25">
      <c r="A129">
        <v>46970</v>
      </c>
      <c r="B129" s="1">
        <v>45958</v>
      </c>
      <c r="C129" t="s">
        <v>156</v>
      </c>
      <c r="D129" t="s">
        <v>157</v>
      </c>
      <c r="E129" s="1">
        <v>45960</v>
      </c>
      <c r="F129" s="1">
        <v>45960</v>
      </c>
      <c r="G129" t="s">
        <v>158</v>
      </c>
      <c r="H129">
        <v>94372020</v>
      </c>
      <c r="I129" t="s">
        <v>284</v>
      </c>
      <c r="J129" t="str">
        <f>IF(
   COUNTIFS(
      $E$2:E129,TRIM(UPPER(E129)),
      $G$2:G129,TRIM(UPPER(G129)),
      $C$2:C129,TEXT(C129,"aaaa-mm-dd"),
      $I$2:I129,TEXT(I129,"0")
   )&gt;1,
   "Duplicado",
   "Único"
)</f>
        <v>Único</v>
      </c>
      <c r="K129">
        <v>3147925507</v>
      </c>
      <c r="L129" t="s">
        <v>285</v>
      </c>
      <c r="M129" s="1">
        <v>26308</v>
      </c>
      <c r="N129">
        <v>53</v>
      </c>
      <c r="O129">
        <v>1</v>
      </c>
      <c r="P129" t="s">
        <v>61</v>
      </c>
      <c r="Q129" t="s">
        <v>225</v>
      </c>
      <c r="R129" t="s">
        <v>286</v>
      </c>
      <c r="S129" t="s">
        <v>287</v>
      </c>
      <c r="T129" t="s">
        <v>288</v>
      </c>
      <c r="U129" s="2">
        <v>45958.006590046294</v>
      </c>
      <c r="V129" t="s">
        <v>37</v>
      </c>
      <c r="W129" t="s">
        <v>89</v>
      </c>
      <c r="AD129" t="s">
        <v>290</v>
      </c>
    </row>
    <row r="130" spans="1:30" ht="15" customHeight="1" x14ac:dyDescent="0.25">
      <c r="A130">
        <v>46969</v>
      </c>
      <c r="B130" s="1">
        <v>45958</v>
      </c>
      <c r="C130" t="s">
        <v>156</v>
      </c>
      <c r="D130" t="s">
        <v>157</v>
      </c>
      <c r="E130" s="1">
        <v>45959</v>
      </c>
      <c r="F130" s="1">
        <v>45959</v>
      </c>
      <c r="G130" t="s">
        <v>160</v>
      </c>
      <c r="H130">
        <v>94372020</v>
      </c>
      <c r="I130" t="s">
        <v>284</v>
      </c>
      <c r="J130" t="str">
        <f>IF(
   COUNTIFS(
      $E$2:E130,TRIM(UPPER(E130)),
      $G$2:G130,TRIM(UPPER(G130)),
      $C$2:C130,TEXT(C130,"aaaa-mm-dd"),
      $I$2:I130,TEXT(I130,"0")
   )&gt;1,
   "Duplicado",
   "Único"
)</f>
        <v>Único</v>
      </c>
      <c r="K130">
        <v>3147925507</v>
      </c>
      <c r="L130" t="s">
        <v>285</v>
      </c>
      <c r="M130" s="1">
        <v>26308</v>
      </c>
      <c r="N130">
        <v>53</v>
      </c>
      <c r="O130">
        <v>1</v>
      </c>
      <c r="P130" t="s">
        <v>61</v>
      </c>
      <c r="Q130" t="s">
        <v>225</v>
      </c>
      <c r="R130" t="s">
        <v>286</v>
      </c>
      <c r="S130" t="s">
        <v>287</v>
      </c>
      <c r="T130" t="s">
        <v>288</v>
      </c>
      <c r="U130" s="2">
        <v>45958.006533564818</v>
      </c>
      <c r="V130" t="s">
        <v>37</v>
      </c>
      <c r="W130" t="s">
        <v>89</v>
      </c>
      <c r="AD130" t="s">
        <v>291</v>
      </c>
    </row>
    <row r="131" spans="1:30" ht="15" customHeight="1" x14ac:dyDescent="0.25">
      <c r="A131">
        <v>41590</v>
      </c>
      <c r="B131" s="1">
        <v>45932</v>
      </c>
      <c r="C131" t="s">
        <v>57</v>
      </c>
      <c r="D131" t="s">
        <v>54</v>
      </c>
      <c r="E131" s="1">
        <v>45932</v>
      </c>
      <c r="F131" s="1">
        <v>45932</v>
      </c>
      <c r="G131" t="s">
        <v>57</v>
      </c>
      <c r="H131">
        <v>94372020</v>
      </c>
      <c r="I131" t="s">
        <v>284</v>
      </c>
      <c r="J131" t="str">
        <f>IF(
   COUNTIFS(
      $E$2:E131,TRIM(UPPER(E131)),
      $G$2:G131,TRIM(UPPER(G131)),
      $C$2:C131,TEXT(C131,"aaaa-mm-dd"),
      $I$2:I131,TEXT(I131,"0")
   )&gt;1,
   "Duplicado",
   "Único"
)</f>
        <v>Único</v>
      </c>
      <c r="K131">
        <v>3147925507</v>
      </c>
      <c r="L131" t="s">
        <v>285</v>
      </c>
      <c r="M131" s="1">
        <v>26308</v>
      </c>
      <c r="N131">
        <v>53</v>
      </c>
      <c r="O131">
        <v>1</v>
      </c>
      <c r="P131" t="s">
        <v>61</v>
      </c>
      <c r="Q131" t="s">
        <v>225</v>
      </c>
      <c r="R131" t="s">
        <v>286</v>
      </c>
      <c r="S131" t="s">
        <v>287</v>
      </c>
      <c r="T131" t="s">
        <v>288</v>
      </c>
      <c r="U131" s="2">
        <v>45932.007112384257</v>
      </c>
      <c r="V131" t="s">
        <v>37</v>
      </c>
      <c r="W131" t="s">
        <v>38</v>
      </c>
      <c r="X131" t="s">
        <v>66</v>
      </c>
      <c r="Y131" t="s">
        <v>67</v>
      </c>
      <c r="AD131" t="s">
        <v>292</v>
      </c>
    </row>
    <row r="132" spans="1:30" ht="15" customHeight="1" x14ac:dyDescent="0.25">
      <c r="A132">
        <v>47123</v>
      </c>
      <c r="B132" s="1">
        <v>45958</v>
      </c>
      <c r="C132" t="s">
        <v>830</v>
      </c>
      <c r="D132" t="s">
        <v>81</v>
      </c>
      <c r="E132" s="1">
        <v>45959</v>
      </c>
      <c r="F132" s="1">
        <v>45959</v>
      </c>
      <c r="G132" t="s">
        <v>831</v>
      </c>
      <c r="H132">
        <v>94372020</v>
      </c>
      <c r="I132" t="s">
        <v>284</v>
      </c>
      <c r="J132" t="str">
        <f>IF(
   COUNTIFS(
      $E$2:E132,TRIM(UPPER(E132)),
      $G$2:G132,TRIM(UPPER(G132)),
      $C$2:C132,TEXT(C132,"aaaa-mm-dd"),
      $I$2:I132,TEXT(I132,"0")
   )&gt;1,
   "Duplicado",
   "Único"
)</f>
        <v>Único</v>
      </c>
      <c r="K132">
        <v>3147925507</v>
      </c>
      <c r="L132" t="s">
        <v>285</v>
      </c>
      <c r="M132" s="1">
        <v>26308</v>
      </c>
      <c r="N132">
        <v>53</v>
      </c>
      <c r="O132">
        <v>1</v>
      </c>
      <c r="P132" t="s">
        <v>61</v>
      </c>
      <c r="Q132" t="s">
        <v>225</v>
      </c>
      <c r="R132" t="s">
        <v>286</v>
      </c>
      <c r="S132" t="s">
        <v>287</v>
      </c>
      <c r="T132" t="s">
        <v>288</v>
      </c>
      <c r="U132" s="2">
        <v>45958.011821412038</v>
      </c>
      <c r="V132" t="s">
        <v>37</v>
      </c>
      <c r="W132" t="s">
        <v>89</v>
      </c>
      <c r="AD132" t="s">
        <v>289</v>
      </c>
    </row>
    <row r="133" spans="1:30" ht="15" customHeight="1" x14ac:dyDescent="0.25">
      <c r="A133">
        <v>46818</v>
      </c>
      <c r="B133" s="1">
        <v>45957</v>
      </c>
      <c r="C133" t="s">
        <v>53</v>
      </c>
      <c r="D133" t="s">
        <v>81</v>
      </c>
      <c r="E133" s="1">
        <v>45958</v>
      </c>
      <c r="F133" s="1">
        <v>45958</v>
      </c>
      <c r="G133" t="s">
        <v>82</v>
      </c>
      <c r="H133">
        <v>91476808</v>
      </c>
      <c r="I133" t="s">
        <v>223</v>
      </c>
      <c r="J133" t="str">
        <f>IF(
   COUNTIFS(
      $E$2:E133,TRIM(UPPER(E133)),
      $G$2:G133,TRIM(UPPER(G133)),
      $C$2:C133,TEXT(C133,"aaaa-mm-dd"),
      $I$2:I133,TEXT(I133,"0")
   )&gt;1,
   "Duplicado",
   "Único"
)</f>
        <v>Único</v>
      </c>
      <c r="K133">
        <v>3102451617</v>
      </c>
      <c r="L133" t="s">
        <v>224</v>
      </c>
      <c r="M133" s="1">
        <v>27535</v>
      </c>
      <c r="N133">
        <v>50</v>
      </c>
      <c r="O133">
        <v>1</v>
      </c>
      <c r="P133" t="s">
        <v>61</v>
      </c>
      <c r="Q133" t="s">
        <v>225</v>
      </c>
      <c r="R133" t="s">
        <v>63</v>
      </c>
      <c r="S133" t="s">
        <v>226</v>
      </c>
      <c r="T133" t="s">
        <v>227</v>
      </c>
      <c r="U133" s="2">
        <v>45957.00942303241</v>
      </c>
      <c r="V133" t="s">
        <v>37</v>
      </c>
      <c r="W133" t="s">
        <v>38</v>
      </c>
      <c r="AD133" t="s">
        <v>228</v>
      </c>
    </row>
    <row r="134" spans="1:30" ht="15" customHeight="1" x14ac:dyDescent="0.25">
      <c r="A134">
        <v>46817</v>
      </c>
      <c r="B134" s="1">
        <v>45957</v>
      </c>
      <c r="C134" t="s">
        <v>53</v>
      </c>
      <c r="D134" t="s">
        <v>54</v>
      </c>
      <c r="E134" s="1">
        <v>45958</v>
      </c>
      <c r="F134" s="1">
        <v>45958</v>
      </c>
      <c r="G134" t="s">
        <v>145</v>
      </c>
      <c r="H134">
        <v>91476808</v>
      </c>
      <c r="I134" t="s">
        <v>223</v>
      </c>
      <c r="J134" t="str">
        <f>IF(
   COUNTIFS(
      $E$2:E134,TRIM(UPPER(E134)),
      $G$2:G134,TRIM(UPPER(G134)),
      $C$2:C134,TEXT(C134,"aaaa-mm-dd"),
      $I$2:I134,TEXT(I134,"0")
   )&gt;1,
   "Duplicado",
   "Único"
)</f>
        <v>Único</v>
      </c>
      <c r="K134">
        <v>3102451617</v>
      </c>
      <c r="L134" t="s">
        <v>224</v>
      </c>
      <c r="M134" s="1">
        <v>27535</v>
      </c>
      <c r="N134">
        <v>50</v>
      </c>
      <c r="O134">
        <v>1</v>
      </c>
      <c r="P134" t="s">
        <v>61</v>
      </c>
      <c r="Q134" t="s">
        <v>225</v>
      </c>
      <c r="R134" t="s">
        <v>63</v>
      </c>
      <c r="S134" t="s">
        <v>226</v>
      </c>
      <c r="T134" t="s">
        <v>227</v>
      </c>
      <c r="U134" s="2">
        <v>45957.009398263886</v>
      </c>
      <c r="V134" t="s">
        <v>37</v>
      </c>
      <c r="W134" t="s">
        <v>38</v>
      </c>
      <c r="AD134" t="s">
        <v>229</v>
      </c>
    </row>
    <row r="135" spans="1:30" ht="15" customHeight="1" x14ac:dyDescent="0.25">
      <c r="A135">
        <v>43166</v>
      </c>
      <c r="B135" s="1">
        <v>45938</v>
      </c>
      <c r="C135" t="s">
        <v>57</v>
      </c>
      <c r="D135" t="s">
        <v>54</v>
      </c>
      <c r="E135" s="1">
        <v>45938</v>
      </c>
      <c r="F135" s="1">
        <v>45938</v>
      </c>
      <c r="G135" t="s">
        <v>57</v>
      </c>
      <c r="H135">
        <v>1047486702</v>
      </c>
      <c r="I135" t="s">
        <v>523</v>
      </c>
      <c r="J135" t="str">
        <f>IF(
   COUNTIFS(
      $E$2:E135,TRIM(UPPER(E135)),
      $G$2:G135,TRIM(UPPER(G135)),
      $C$2:C135,TEXT(C135,"aaaa-mm-dd"),
      $I$2:I135,TEXT(I135,"0")
   )&gt;1,
   "Duplicado",
   "Único"
)</f>
        <v>Único</v>
      </c>
      <c r="K135">
        <v>3024630708</v>
      </c>
      <c r="L135" t="s">
        <v>524</v>
      </c>
      <c r="P135" t="s">
        <v>359</v>
      </c>
      <c r="Q135" t="s">
        <v>225</v>
      </c>
      <c r="R135" t="s">
        <v>525</v>
      </c>
      <c r="S135" t="s">
        <v>526</v>
      </c>
      <c r="U135" s="2">
        <v>45938.008264699078</v>
      </c>
      <c r="V135" t="s">
        <v>37</v>
      </c>
      <c r="W135" t="s">
        <v>38</v>
      </c>
      <c r="X135" t="s">
        <v>66</v>
      </c>
      <c r="Y135" t="s">
        <v>67</v>
      </c>
      <c r="AD135" t="s">
        <v>527</v>
      </c>
    </row>
    <row r="136" spans="1:30" ht="16.5" customHeight="1" x14ac:dyDescent="0.25">
      <c r="A136">
        <v>11698</v>
      </c>
      <c r="B136" s="1">
        <v>45684</v>
      </c>
      <c r="C136" t="s">
        <v>830</v>
      </c>
      <c r="D136" t="s">
        <v>70</v>
      </c>
      <c r="E136" s="1">
        <v>45944</v>
      </c>
      <c r="F136" s="1">
        <v>45944</v>
      </c>
      <c r="G136" t="s">
        <v>71</v>
      </c>
      <c r="H136">
        <v>1127243486</v>
      </c>
      <c r="I136" t="s">
        <v>72</v>
      </c>
      <c r="J136" t="str">
        <f>IF(
   COUNTIFS(
      $E$2:E136,TRIM(UPPER(E136)),
      $G$2:G136,TRIM(UPPER(G136)),
      $C$2:C136,TEXT(C136,"aaaa-mm-dd"),
      $I$2:I136,TEXT(I136,"0")
   )&gt;1,
   "Duplicado",
   "Único"
)</f>
        <v>Único</v>
      </c>
      <c r="K136">
        <v>2396778113</v>
      </c>
      <c r="L136" t="s">
        <v>73</v>
      </c>
      <c r="M136" s="1">
        <v>33248</v>
      </c>
      <c r="N136">
        <v>34</v>
      </c>
      <c r="O136" t="s">
        <v>74</v>
      </c>
      <c r="P136" t="s">
        <v>45</v>
      </c>
      <c r="Q136" t="s">
        <v>75</v>
      </c>
      <c r="R136" t="s">
        <v>76</v>
      </c>
      <c r="S136" t="s">
        <v>77</v>
      </c>
      <c r="T136" t="s">
        <v>78</v>
      </c>
      <c r="U136" s="2">
        <v>45684.00950763889</v>
      </c>
      <c r="V136" t="s">
        <v>79</v>
      </c>
      <c r="W136" t="s">
        <v>50</v>
      </c>
      <c r="AD136" t="s">
        <v>80</v>
      </c>
    </row>
    <row r="137" spans="1:30" ht="15" customHeight="1" x14ac:dyDescent="0.25">
      <c r="A137">
        <v>46712</v>
      </c>
      <c r="B137" s="1">
        <v>45957</v>
      </c>
      <c r="C137" t="s">
        <v>276</v>
      </c>
      <c r="D137" t="s">
        <v>54</v>
      </c>
      <c r="E137" s="1">
        <v>45959</v>
      </c>
      <c r="F137" s="1">
        <v>45959</v>
      </c>
      <c r="G137" t="s">
        <v>277</v>
      </c>
      <c r="H137">
        <v>32829727</v>
      </c>
      <c r="I137" t="s">
        <v>583</v>
      </c>
      <c r="J137" t="str">
        <f>IF(
   COUNTIFS(
      $E$2:E137,TRIM(UPPER(E137)),
      $G$2:G137,TRIM(UPPER(G137)),
      $C$2:C137,TEXT(C137,"aaaa-mm-dd"),
      $I$2:I137,TEXT(I137,"0")
   )&gt;1,
   "Duplicado",
   "Único"
)</f>
        <v>Único</v>
      </c>
      <c r="K137">
        <v>3114235645</v>
      </c>
      <c r="L137" t="s">
        <v>584</v>
      </c>
      <c r="M137" s="1">
        <v>26045</v>
      </c>
      <c r="N137">
        <v>54</v>
      </c>
      <c r="O137">
        <v>1</v>
      </c>
      <c r="P137" t="s">
        <v>61</v>
      </c>
      <c r="Q137" t="s">
        <v>585</v>
      </c>
      <c r="R137" t="s">
        <v>586</v>
      </c>
      <c r="S137" t="s">
        <v>587</v>
      </c>
      <c r="T137" t="s">
        <v>317</v>
      </c>
      <c r="U137" s="2">
        <v>45957.005571875001</v>
      </c>
      <c r="V137" t="s">
        <v>37</v>
      </c>
      <c r="W137" t="s">
        <v>38</v>
      </c>
      <c r="AD137" t="s">
        <v>499</v>
      </c>
    </row>
    <row r="138" spans="1:30" ht="15" customHeight="1" x14ac:dyDescent="0.25">
      <c r="A138">
        <v>47018</v>
      </c>
      <c r="B138" s="1">
        <v>45958</v>
      </c>
      <c r="C138" t="s">
        <v>57</v>
      </c>
      <c r="D138" t="s">
        <v>828</v>
      </c>
      <c r="E138" s="1">
        <v>45959</v>
      </c>
      <c r="F138" s="1">
        <v>45959</v>
      </c>
      <c r="G138" t="s">
        <v>57</v>
      </c>
      <c r="H138">
        <v>1048320145</v>
      </c>
      <c r="I138" t="s">
        <v>692</v>
      </c>
      <c r="J138" t="str">
        <f>IF(
   COUNTIFS(
      $E$2:E138,TRIM(UPPER(E138)),
      $G$2:G138,TRIM(UPPER(G138)),
      $C$2:C138,TEXT(C138,"aaaa-mm-dd"),
      $I$2:I138,TEXT(I138,"0")
   )&gt;1,
   "Duplicado",
   "Único"
)</f>
        <v>Único</v>
      </c>
      <c r="K138">
        <v>3157053469</v>
      </c>
      <c r="L138" t="s">
        <v>693</v>
      </c>
      <c r="M138" s="1">
        <v>35032</v>
      </c>
      <c r="N138">
        <v>29</v>
      </c>
      <c r="O138">
        <v>1</v>
      </c>
      <c r="P138" t="s">
        <v>61</v>
      </c>
      <c r="Q138" t="s">
        <v>694</v>
      </c>
      <c r="R138" t="s">
        <v>580</v>
      </c>
      <c r="S138" t="s">
        <v>695</v>
      </c>
      <c r="T138" t="s">
        <v>696</v>
      </c>
      <c r="U138" s="2">
        <v>45958.008465624996</v>
      </c>
      <c r="V138" t="s">
        <v>37</v>
      </c>
      <c r="W138" t="s">
        <v>136</v>
      </c>
      <c r="AD138" t="s">
        <v>631</v>
      </c>
    </row>
    <row r="139" spans="1:30" ht="15" customHeight="1" x14ac:dyDescent="0.25">
      <c r="A139">
        <v>42686</v>
      </c>
      <c r="B139" s="1">
        <v>45936</v>
      </c>
      <c r="C139" t="s">
        <v>29</v>
      </c>
      <c r="D139" t="s">
        <v>828</v>
      </c>
      <c r="E139" s="1">
        <v>45960</v>
      </c>
      <c r="F139" s="1">
        <v>45960</v>
      </c>
      <c r="G139" t="s">
        <v>30</v>
      </c>
      <c r="H139">
        <v>1133994</v>
      </c>
      <c r="I139" t="s">
        <v>293</v>
      </c>
      <c r="J139" t="str">
        <f>IF(
   COUNTIFS(
      $E$2:E139,TRIM(UPPER(E139)),
      $G$2:G139,TRIM(UPPER(G139)),
      $C$2:C139,TEXT(C139,"aaaa-mm-dd"),
      $I$2:I139,TEXT(I139,"0")
   )&gt;1,
   "Duplicado",
   "Único"
)</f>
        <v>Único</v>
      </c>
      <c r="K139">
        <v>7274231490</v>
      </c>
      <c r="L139" t="s">
        <v>294</v>
      </c>
      <c r="M139" s="1">
        <v>29594</v>
      </c>
      <c r="N139">
        <v>44</v>
      </c>
      <c r="O139">
        <v>1</v>
      </c>
      <c r="P139" t="s">
        <v>61</v>
      </c>
      <c r="Q139" t="s">
        <v>295</v>
      </c>
      <c r="R139" t="s">
        <v>296</v>
      </c>
      <c r="S139" t="s">
        <v>297</v>
      </c>
      <c r="U139" s="2">
        <v>45936.008175347219</v>
      </c>
      <c r="V139" t="s">
        <v>37</v>
      </c>
      <c r="W139" t="s">
        <v>50</v>
      </c>
      <c r="X139" s="3" t="s">
        <v>39</v>
      </c>
      <c r="Y139" t="s">
        <v>40</v>
      </c>
      <c r="Z139" t="s">
        <v>40</v>
      </c>
      <c r="AD139" t="s">
        <v>298</v>
      </c>
    </row>
    <row r="140" spans="1:30" ht="15" customHeight="1" x14ac:dyDescent="0.25">
      <c r="A140">
        <v>42638</v>
      </c>
      <c r="B140" s="1">
        <v>45936</v>
      </c>
      <c r="C140" t="s">
        <v>147</v>
      </c>
      <c r="D140" t="s">
        <v>81</v>
      </c>
      <c r="E140" s="1">
        <v>45937</v>
      </c>
      <c r="F140" s="1">
        <v>45937</v>
      </c>
      <c r="G140" t="s">
        <v>148</v>
      </c>
      <c r="H140">
        <v>1133994</v>
      </c>
      <c r="I140" t="s">
        <v>293</v>
      </c>
      <c r="J140" t="str">
        <f>IF(
   COUNTIFS(
      $E$2:E140,TRIM(UPPER(E140)),
      $G$2:G140,TRIM(UPPER(G140)),
      $C$2:C140,TEXT(C140,"aaaa-mm-dd"),
      $I$2:I140,TEXT(I140,"0")
   )&gt;1,
   "Duplicado",
   "Único"
)</f>
        <v>Único</v>
      </c>
      <c r="K140">
        <v>7274231490</v>
      </c>
      <c r="L140" t="s">
        <v>294</v>
      </c>
      <c r="M140" s="1">
        <v>29594</v>
      </c>
      <c r="N140">
        <v>44</v>
      </c>
      <c r="O140">
        <v>1</v>
      </c>
      <c r="P140" t="s">
        <v>61</v>
      </c>
      <c r="Q140" t="s">
        <v>295</v>
      </c>
      <c r="R140" t="s">
        <v>296</v>
      </c>
      <c r="S140" t="s">
        <v>297</v>
      </c>
      <c r="U140" s="2">
        <v>45936.006805902776</v>
      </c>
      <c r="V140" t="s">
        <v>37</v>
      </c>
      <c r="W140" t="s">
        <v>50</v>
      </c>
      <c r="AD140" t="s">
        <v>299</v>
      </c>
    </row>
    <row r="141" spans="1:30" ht="15" customHeight="1" x14ac:dyDescent="0.25">
      <c r="A141">
        <v>41237</v>
      </c>
      <c r="B141" s="1">
        <v>45931</v>
      </c>
      <c r="C141" t="s">
        <v>147</v>
      </c>
      <c r="D141" t="s">
        <v>81</v>
      </c>
      <c r="E141" s="1">
        <v>45931</v>
      </c>
      <c r="F141" s="1">
        <v>45931</v>
      </c>
      <c r="G141" t="s">
        <v>148</v>
      </c>
      <c r="H141">
        <v>1133994</v>
      </c>
      <c r="I141" t="s">
        <v>293</v>
      </c>
      <c r="J141" t="str">
        <f>IF(
   COUNTIFS(
      $E$2:E141,TRIM(UPPER(E141)),
      $G$2:G141,TRIM(UPPER(G141)),
      $C$2:C141,TEXT(C141,"aaaa-mm-dd"),
      $I$2:I141,TEXT(I141,"0")
   )&gt;1,
   "Duplicado",
   "Único"
)</f>
        <v>Único</v>
      </c>
      <c r="K141">
        <v>7274231490</v>
      </c>
      <c r="L141" t="s">
        <v>294</v>
      </c>
      <c r="M141" s="1">
        <v>29594</v>
      </c>
      <c r="N141">
        <v>44</v>
      </c>
      <c r="O141">
        <v>1</v>
      </c>
      <c r="P141" t="s">
        <v>61</v>
      </c>
      <c r="Q141" t="s">
        <v>295</v>
      </c>
      <c r="R141" t="s">
        <v>296</v>
      </c>
      <c r="S141" t="s">
        <v>297</v>
      </c>
      <c r="U141" s="2">
        <v>45931.00541701389</v>
      </c>
      <c r="V141" t="s">
        <v>37</v>
      </c>
      <c r="W141" t="s">
        <v>38</v>
      </c>
      <c r="AD141" s="3" t="s">
        <v>300</v>
      </c>
    </row>
    <row r="142" spans="1:30" ht="15" customHeight="1" x14ac:dyDescent="0.25">
      <c r="A142">
        <v>44559</v>
      </c>
      <c r="B142" s="1">
        <v>45946</v>
      </c>
      <c r="C142" t="s">
        <v>57</v>
      </c>
      <c r="D142" t="s">
        <v>54</v>
      </c>
      <c r="E142" s="1">
        <v>45946</v>
      </c>
      <c r="F142" s="1">
        <v>45946</v>
      </c>
      <c r="G142" t="s">
        <v>57</v>
      </c>
      <c r="H142">
        <v>44158464</v>
      </c>
      <c r="I142" t="s">
        <v>559</v>
      </c>
      <c r="J142" t="str">
        <f>IF(
   COUNTIFS(
      $E$2:E142,TRIM(UPPER(E142)),
      $G$2:G142,TRIM(UPPER(G142)),
      $C$2:C142,TEXT(C142,"aaaa-mm-dd"),
      $I$2:I142,TEXT(I142,"0")
   )&gt;1,
   "Duplicado",
   "Único"
)</f>
        <v>Único</v>
      </c>
      <c r="K142">
        <v>3007480060</v>
      </c>
      <c r="L142" t="s">
        <v>560</v>
      </c>
      <c r="M142" s="1">
        <v>30834</v>
      </c>
      <c r="N142">
        <v>41</v>
      </c>
      <c r="O142">
        <v>1</v>
      </c>
      <c r="P142" t="s">
        <v>321</v>
      </c>
      <c r="Q142" t="s">
        <v>561</v>
      </c>
      <c r="R142" t="s">
        <v>303</v>
      </c>
      <c r="S142" t="s">
        <v>562</v>
      </c>
      <c r="T142" t="s">
        <v>186</v>
      </c>
      <c r="U142" s="2">
        <v>45946.007257638892</v>
      </c>
      <c r="V142" t="s">
        <v>37</v>
      </c>
      <c r="W142" t="s">
        <v>38</v>
      </c>
      <c r="X142" t="s">
        <v>318</v>
      </c>
      <c r="Y142" t="s">
        <v>163</v>
      </c>
      <c r="AD142" t="s">
        <v>563</v>
      </c>
    </row>
    <row r="143" spans="1:30" ht="15" customHeight="1" x14ac:dyDescent="0.25">
      <c r="A143">
        <v>43317</v>
      </c>
      <c r="B143" s="1">
        <v>45939</v>
      </c>
      <c r="C143" t="s">
        <v>57</v>
      </c>
      <c r="D143" t="s">
        <v>54</v>
      </c>
      <c r="E143" s="1">
        <v>45940</v>
      </c>
      <c r="F143" s="1">
        <v>45940</v>
      </c>
      <c r="G143" t="s">
        <v>57</v>
      </c>
      <c r="H143">
        <v>44158464</v>
      </c>
      <c r="I143" t="s">
        <v>559</v>
      </c>
      <c r="J143" t="str">
        <f>IF(
   COUNTIFS(
      $E$2:E143,TRIM(UPPER(E143)),
      $G$2:G143,TRIM(UPPER(G143)),
      $C$2:C143,TEXT(C143,"aaaa-mm-dd"),
      $I$2:I143,TEXT(I143,"0")
   )&gt;1,
   "Duplicado",
   "Único"
)</f>
        <v>Único</v>
      </c>
      <c r="K143">
        <v>3007480060</v>
      </c>
      <c r="L143" t="s">
        <v>560</v>
      </c>
      <c r="M143" s="1">
        <v>30834</v>
      </c>
      <c r="N143">
        <v>41</v>
      </c>
      <c r="O143">
        <v>1</v>
      </c>
      <c r="P143" t="s">
        <v>321</v>
      </c>
      <c r="Q143" t="s">
        <v>561</v>
      </c>
      <c r="R143" t="s">
        <v>303</v>
      </c>
      <c r="S143" t="s">
        <v>562</v>
      </c>
      <c r="T143" t="s">
        <v>186</v>
      </c>
      <c r="U143" s="2">
        <v>45939.006992476854</v>
      </c>
      <c r="V143" t="s">
        <v>37</v>
      </c>
      <c r="W143" t="s">
        <v>50</v>
      </c>
      <c r="X143" t="s">
        <v>318</v>
      </c>
      <c r="Y143" t="s">
        <v>163</v>
      </c>
      <c r="AD143" t="s">
        <v>538</v>
      </c>
    </row>
    <row r="144" spans="1:30" ht="15" customHeight="1" x14ac:dyDescent="0.25">
      <c r="A144">
        <v>43515</v>
      </c>
      <c r="B144" s="1">
        <v>45940</v>
      </c>
      <c r="C144" t="s">
        <v>57</v>
      </c>
      <c r="D144" t="s">
        <v>70</v>
      </c>
      <c r="E144" s="1">
        <v>45955</v>
      </c>
      <c r="F144" s="1">
        <v>45955</v>
      </c>
      <c r="G144" t="s">
        <v>57</v>
      </c>
      <c r="H144">
        <v>1083004670</v>
      </c>
      <c r="I144" t="s">
        <v>821</v>
      </c>
      <c r="J144" t="str">
        <f>IF(
   COUNTIFS(
      $E$2:E144,TRIM(UPPER(E144)),
      $G$2:G144,TRIM(UPPER(G144)),
      $C$2:C144,TEXT(C144,"aaaa-mm-dd"),
      $I$2:I144,TEXT(I144,"0")
   )&gt;1,
   "Duplicado",
   "Único"
)</f>
        <v>Único</v>
      </c>
      <c r="K144">
        <v>3144053950</v>
      </c>
      <c r="L144" t="s">
        <v>822</v>
      </c>
      <c r="P144" t="s">
        <v>321</v>
      </c>
      <c r="Q144" t="s">
        <v>823</v>
      </c>
      <c r="R144" t="s">
        <v>824</v>
      </c>
      <c r="S144" t="s">
        <v>825</v>
      </c>
      <c r="T144" t="s">
        <v>826</v>
      </c>
      <c r="U144" s="2">
        <v>45940.007003125</v>
      </c>
      <c r="V144" t="s">
        <v>37</v>
      </c>
      <c r="W144" t="s">
        <v>50</v>
      </c>
      <c r="AD144" t="s">
        <v>365</v>
      </c>
    </row>
    <row r="145" spans="1:30" ht="15" customHeight="1" x14ac:dyDescent="0.25">
      <c r="A145">
        <v>40705</v>
      </c>
      <c r="B145" s="1">
        <v>45929</v>
      </c>
      <c r="C145" t="s">
        <v>147</v>
      </c>
      <c r="D145" t="s">
        <v>81</v>
      </c>
      <c r="E145" s="1">
        <v>45932</v>
      </c>
      <c r="F145" s="1">
        <v>45932</v>
      </c>
      <c r="G145" t="s">
        <v>148</v>
      </c>
      <c r="H145">
        <v>98394156</v>
      </c>
      <c r="I145" t="s">
        <v>350</v>
      </c>
      <c r="J145" t="str">
        <f>IF(
   COUNTIFS(
      $E$2:E145,TRIM(UPPER(E145)),
      $G$2:G145,TRIM(UPPER(G145)),
      $C$2:C145,TEXT(C145,"aaaa-mm-dd"),
      $I$2:I145,TEXT(I145,"0")
   )&gt;1,
   "Duplicado",
   "Único"
)</f>
        <v>Único</v>
      </c>
      <c r="K145">
        <v>3176650260</v>
      </c>
      <c r="L145" t="s">
        <v>351</v>
      </c>
      <c r="M145" s="1">
        <v>27853</v>
      </c>
      <c r="N145">
        <v>49</v>
      </c>
      <c r="O145">
        <v>1</v>
      </c>
      <c r="P145" t="s">
        <v>61</v>
      </c>
      <c r="Q145" t="s">
        <v>352</v>
      </c>
      <c r="R145" t="s">
        <v>353</v>
      </c>
      <c r="S145" t="s">
        <v>354</v>
      </c>
      <c r="T145" t="s">
        <v>355</v>
      </c>
      <c r="U145" s="2">
        <v>45929.006614120372</v>
      </c>
      <c r="V145" t="s">
        <v>37</v>
      </c>
      <c r="W145" t="s">
        <v>116</v>
      </c>
      <c r="AD145" t="s">
        <v>356</v>
      </c>
    </row>
    <row r="146" spans="1:30" ht="15" customHeight="1" x14ac:dyDescent="0.25">
      <c r="A146">
        <v>46743</v>
      </c>
      <c r="B146" s="1">
        <v>45957</v>
      </c>
      <c r="C146" t="s">
        <v>53</v>
      </c>
      <c r="D146" t="s">
        <v>828</v>
      </c>
      <c r="E146" s="1">
        <v>45959</v>
      </c>
      <c r="F146" s="1">
        <v>45959</v>
      </c>
      <c r="G146" t="s">
        <v>91</v>
      </c>
      <c r="H146">
        <v>1042607907</v>
      </c>
      <c r="I146" t="s">
        <v>319</v>
      </c>
      <c r="J146" t="str">
        <f>IF(
   COUNTIFS(
      $E$2:E146,TRIM(UPPER(E146)),
      $G$2:G146,TRIM(UPPER(G146)),
      $C$2:C146,TEXT(C146,"aaaa-mm-dd"),
      $I$2:I146,TEXT(I146,"0")
   )&gt;1,
   "Duplicado",
   "Único"
)</f>
        <v>Único</v>
      </c>
      <c r="K146">
        <v>3225039364</v>
      </c>
      <c r="L146" t="s">
        <v>320</v>
      </c>
      <c r="M146" s="1">
        <v>38442</v>
      </c>
      <c r="N146">
        <v>20</v>
      </c>
      <c r="O146">
        <v>1</v>
      </c>
      <c r="P146" t="s">
        <v>321</v>
      </c>
      <c r="Q146" t="s">
        <v>322</v>
      </c>
      <c r="R146" t="s">
        <v>323</v>
      </c>
      <c r="S146" t="s">
        <v>324</v>
      </c>
      <c r="T146" t="s">
        <v>325</v>
      </c>
      <c r="U146" s="2">
        <v>45957.006751388886</v>
      </c>
      <c r="V146" t="s">
        <v>37</v>
      </c>
      <c r="W146" t="s">
        <v>38</v>
      </c>
      <c r="AD146" t="s">
        <v>326</v>
      </c>
    </row>
    <row r="147" spans="1:30" ht="15" customHeight="1" x14ac:dyDescent="0.25">
      <c r="A147">
        <v>45437</v>
      </c>
      <c r="B147" s="1">
        <v>45950</v>
      </c>
      <c r="C147" t="s">
        <v>53</v>
      </c>
      <c r="D147" t="s">
        <v>81</v>
      </c>
      <c r="E147" s="1">
        <v>45951</v>
      </c>
      <c r="F147" s="1">
        <v>45951</v>
      </c>
      <c r="G147" t="s">
        <v>82</v>
      </c>
      <c r="H147">
        <v>1042607907</v>
      </c>
      <c r="I147" t="s">
        <v>319</v>
      </c>
      <c r="J147" t="str">
        <f>IF(
   COUNTIFS(
      $E$2:E147,TRIM(UPPER(E147)),
      $G$2:G147,TRIM(UPPER(G147)),
      $C$2:C147,TEXT(C147,"aaaa-mm-dd"),
      $I$2:I147,TEXT(I147,"0")
   )&gt;1,
   "Duplicado",
   "Único"
)</f>
        <v>Único</v>
      </c>
      <c r="K147">
        <v>3225039364</v>
      </c>
      <c r="L147" t="s">
        <v>320</v>
      </c>
      <c r="M147" s="1">
        <v>38442</v>
      </c>
      <c r="N147">
        <v>20</v>
      </c>
      <c r="O147">
        <v>1</v>
      </c>
      <c r="P147" t="s">
        <v>321</v>
      </c>
      <c r="Q147" t="s">
        <v>322</v>
      </c>
      <c r="R147" t="s">
        <v>323</v>
      </c>
      <c r="S147" t="s">
        <v>324</v>
      </c>
      <c r="T147" t="s">
        <v>325</v>
      </c>
      <c r="U147" s="2">
        <v>45950.011880324077</v>
      </c>
      <c r="V147" t="s">
        <v>37</v>
      </c>
      <c r="W147" t="s">
        <v>89</v>
      </c>
      <c r="AD147" t="s">
        <v>327</v>
      </c>
    </row>
    <row r="148" spans="1:30" ht="15" customHeight="1" x14ac:dyDescent="0.25">
      <c r="A148">
        <v>45436</v>
      </c>
      <c r="B148" s="1">
        <v>45950</v>
      </c>
      <c r="C148" t="s">
        <v>53</v>
      </c>
      <c r="D148" t="s">
        <v>54</v>
      </c>
      <c r="E148" s="1">
        <v>45951</v>
      </c>
      <c r="F148" s="1">
        <v>45951</v>
      </c>
      <c r="G148" t="s">
        <v>145</v>
      </c>
      <c r="H148">
        <v>1042607907</v>
      </c>
      <c r="I148" t="s">
        <v>319</v>
      </c>
      <c r="J148" t="str">
        <f>IF(
   COUNTIFS(
      $E$2:E148,TRIM(UPPER(E148)),
      $G$2:G148,TRIM(UPPER(G148)),
      $C$2:C148,TEXT(C148,"aaaa-mm-dd"),
      $I$2:I148,TEXT(I148,"0")
   )&gt;1,
   "Duplicado",
   "Único"
)</f>
        <v>Único</v>
      </c>
      <c r="K148">
        <v>3225039364</v>
      </c>
      <c r="L148" t="s">
        <v>320</v>
      </c>
      <c r="M148" s="1">
        <v>38442</v>
      </c>
      <c r="N148">
        <v>20</v>
      </c>
      <c r="O148">
        <v>1</v>
      </c>
      <c r="P148" t="s">
        <v>321</v>
      </c>
      <c r="Q148" t="s">
        <v>322</v>
      </c>
      <c r="R148" t="s">
        <v>323</v>
      </c>
      <c r="S148" t="s">
        <v>324</v>
      </c>
      <c r="T148" t="s">
        <v>325</v>
      </c>
      <c r="U148" s="2">
        <v>45950.01187638889</v>
      </c>
      <c r="V148" t="s">
        <v>37</v>
      </c>
      <c r="W148" t="s">
        <v>89</v>
      </c>
      <c r="AD148" t="s">
        <v>328</v>
      </c>
    </row>
    <row r="149" spans="1:30" ht="15" customHeight="1" x14ac:dyDescent="0.25">
      <c r="A149">
        <v>42334</v>
      </c>
      <c r="B149" s="1">
        <v>45934</v>
      </c>
      <c r="C149" t="s">
        <v>53</v>
      </c>
      <c r="D149" t="s">
        <v>70</v>
      </c>
      <c r="E149" s="1">
        <v>45941</v>
      </c>
      <c r="F149" s="1">
        <v>45941</v>
      </c>
      <c r="G149" t="s">
        <v>91</v>
      </c>
      <c r="H149">
        <v>1042607907</v>
      </c>
      <c r="I149" t="s">
        <v>319</v>
      </c>
      <c r="J149" t="str">
        <f>IF(
   COUNTIFS(
      $E$2:E149,TRIM(UPPER(E149)),
      $G$2:G149,TRIM(UPPER(G149)),
      $C$2:C149,TEXT(C149,"aaaa-mm-dd"),
      $I$2:I149,TEXT(I149,"0")
   )&gt;1,
   "Duplicado",
   "Único"
)</f>
        <v>Único</v>
      </c>
      <c r="K149">
        <v>3225039364</v>
      </c>
      <c r="L149" t="s">
        <v>320</v>
      </c>
      <c r="M149" s="1">
        <v>38442</v>
      </c>
      <c r="N149">
        <v>20</v>
      </c>
      <c r="O149">
        <v>1</v>
      </c>
      <c r="P149" t="s">
        <v>321</v>
      </c>
      <c r="Q149" t="s">
        <v>322</v>
      </c>
      <c r="R149" t="s">
        <v>323</v>
      </c>
      <c r="S149" t="s">
        <v>324</v>
      </c>
      <c r="T149" t="s">
        <v>325</v>
      </c>
      <c r="U149" s="2">
        <v>45934.008047337964</v>
      </c>
      <c r="V149" t="s">
        <v>37</v>
      </c>
      <c r="W149" t="s">
        <v>38</v>
      </c>
      <c r="AD149" t="s">
        <v>329</v>
      </c>
    </row>
    <row r="150" spans="1:30" ht="15" customHeight="1" x14ac:dyDescent="0.25">
      <c r="A150">
        <v>40874</v>
      </c>
      <c r="B150" s="1">
        <v>45930</v>
      </c>
      <c r="C150" t="s">
        <v>53</v>
      </c>
      <c r="D150" t="s">
        <v>54</v>
      </c>
      <c r="E150" s="1">
        <v>45934</v>
      </c>
      <c r="F150" s="1">
        <v>45934</v>
      </c>
      <c r="G150" t="s">
        <v>145</v>
      </c>
      <c r="H150">
        <v>1042607907</v>
      </c>
      <c r="I150" t="s">
        <v>319</v>
      </c>
      <c r="J150" t="str">
        <f>IF(
   COUNTIFS(
      $E$2:E150,TRIM(UPPER(E150)),
      $G$2:G150,TRIM(UPPER(G150)),
      $C$2:C150,TEXT(C150,"aaaa-mm-dd"),
      $I$2:I150,TEXT(I150,"0")
   )&gt;1,
   "Duplicado",
   "Único"
)</f>
        <v>Único</v>
      </c>
      <c r="K150">
        <v>3225039364</v>
      </c>
      <c r="L150" t="s">
        <v>320</v>
      </c>
      <c r="M150" s="1">
        <v>38442</v>
      </c>
      <c r="N150">
        <v>20</v>
      </c>
      <c r="O150">
        <v>1</v>
      </c>
      <c r="P150" t="s">
        <v>321</v>
      </c>
      <c r="Q150" t="s">
        <v>322</v>
      </c>
      <c r="R150" t="s">
        <v>323</v>
      </c>
      <c r="S150" t="s">
        <v>324</v>
      </c>
      <c r="T150" t="s">
        <v>325</v>
      </c>
      <c r="U150" s="2">
        <v>45930.006556134256</v>
      </c>
      <c r="V150" t="s">
        <v>37</v>
      </c>
      <c r="W150" t="s">
        <v>38</v>
      </c>
      <c r="AD150" t="s">
        <v>330</v>
      </c>
    </row>
    <row r="151" spans="1:30" ht="15" customHeight="1" x14ac:dyDescent="0.25">
      <c r="A151">
        <v>43745</v>
      </c>
      <c r="B151" s="1">
        <v>45941</v>
      </c>
      <c r="C151" t="s">
        <v>53</v>
      </c>
      <c r="D151" t="s">
        <v>81</v>
      </c>
      <c r="E151" s="1">
        <v>45948</v>
      </c>
      <c r="F151" s="1">
        <v>45948</v>
      </c>
      <c r="G151" t="s">
        <v>82</v>
      </c>
      <c r="H151">
        <v>1042607907</v>
      </c>
      <c r="I151" t="s">
        <v>319</v>
      </c>
      <c r="J151" t="str">
        <f>IF(
   COUNTIFS(
      $E$2:E151,TRIM(UPPER(E151)),
      $G$2:G151,TRIM(UPPER(G151)),
      $C$2:C151,TEXT(C151,"aaaa-mm-dd"),
      $I$2:I151,TEXT(I151,"0")
   )&gt;1,
   "Duplicado",
   "Único"
)</f>
        <v>Único</v>
      </c>
      <c r="K151">
        <v>3225039364</v>
      </c>
      <c r="L151" t="s">
        <v>320</v>
      </c>
      <c r="M151" s="1">
        <v>38442</v>
      </c>
      <c r="N151">
        <v>20</v>
      </c>
      <c r="O151">
        <v>1</v>
      </c>
      <c r="P151" t="s">
        <v>321</v>
      </c>
      <c r="Q151" t="s">
        <v>322</v>
      </c>
      <c r="R151" t="s">
        <v>323</v>
      </c>
      <c r="S151" t="s">
        <v>324</v>
      </c>
      <c r="T151" t="s">
        <v>325</v>
      </c>
      <c r="U151" s="2">
        <v>45941.006731018519</v>
      </c>
      <c r="V151" t="s">
        <v>37</v>
      </c>
      <c r="W151" t="s">
        <v>116</v>
      </c>
      <c r="AD151" t="s">
        <v>331</v>
      </c>
    </row>
    <row r="152" spans="1:30" ht="15" customHeight="1" x14ac:dyDescent="0.25">
      <c r="A152">
        <v>43744</v>
      </c>
      <c r="B152" s="1">
        <v>45941</v>
      </c>
      <c r="C152" t="s">
        <v>53</v>
      </c>
      <c r="D152" t="s">
        <v>54</v>
      </c>
      <c r="E152" s="1">
        <v>45948</v>
      </c>
      <c r="F152" s="1">
        <v>45948</v>
      </c>
      <c r="G152" t="s">
        <v>145</v>
      </c>
      <c r="H152">
        <v>1042607907</v>
      </c>
      <c r="I152" t="s">
        <v>319</v>
      </c>
      <c r="J152" t="str">
        <f>IF(
   COUNTIFS(
      $E$2:E152,TRIM(UPPER(E152)),
      $G$2:G152,TRIM(UPPER(G152)),
      $C$2:C152,TEXT(C152,"aaaa-mm-dd"),
      $I$2:I152,TEXT(I152,"0")
   )&gt;1,
   "Duplicado",
   "Único"
)</f>
        <v>Único</v>
      </c>
      <c r="K152">
        <v>3225039364</v>
      </c>
      <c r="L152" t="s">
        <v>320</v>
      </c>
      <c r="M152" s="1">
        <v>38442</v>
      </c>
      <c r="N152">
        <v>20</v>
      </c>
      <c r="O152">
        <v>1</v>
      </c>
      <c r="P152" t="s">
        <v>321</v>
      </c>
      <c r="Q152" t="s">
        <v>322</v>
      </c>
      <c r="R152" t="s">
        <v>323</v>
      </c>
      <c r="S152" t="s">
        <v>324</v>
      </c>
      <c r="T152" t="s">
        <v>325</v>
      </c>
      <c r="U152" s="2">
        <v>45941.006726504631</v>
      </c>
      <c r="V152" t="s">
        <v>37</v>
      </c>
      <c r="W152" t="s">
        <v>116</v>
      </c>
      <c r="AD152" t="s">
        <v>328</v>
      </c>
    </row>
    <row r="153" spans="1:30" ht="15" customHeight="1" x14ac:dyDescent="0.25">
      <c r="A153">
        <v>42953</v>
      </c>
      <c r="B153" s="1">
        <v>45937</v>
      </c>
      <c r="C153" t="s">
        <v>57</v>
      </c>
      <c r="D153" t="s">
        <v>828</v>
      </c>
      <c r="E153" s="1">
        <v>45938</v>
      </c>
      <c r="F153" s="1">
        <v>45938</v>
      </c>
      <c r="G153" t="s">
        <v>57</v>
      </c>
      <c r="H153">
        <v>39685334</v>
      </c>
      <c r="I153" t="s">
        <v>517</v>
      </c>
      <c r="J153" t="str">
        <f>IF(
   COUNTIFS(
      $E$2:E153,TRIM(UPPER(E153)),
      $G$2:G153,TRIM(UPPER(G153)),
      $C$2:C153,TEXT(C153,"aaaa-mm-dd"),
      $I$2:I153,TEXT(I153,"0")
   )&gt;1,
   "Duplicado",
   "Único"
)</f>
        <v>Único</v>
      </c>
      <c r="K153">
        <v>3145811197</v>
      </c>
      <c r="L153" t="s">
        <v>518</v>
      </c>
      <c r="M153" s="1">
        <v>23166</v>
      </c>
      <c r="N153">
        <v>62</v>
      </c>
      <c r="O153">
        <v>1</v>
      </c>
      <c r="P153" t="s">
        <v>359</v>
      </c>
      <c r="Q153" t="s">
        <v>519</v>
      </c>
      <c r="S153" t="s">
        <v>520</v>
      </c>
      <c r="T153" t="s">
        <v>521</v>
      </c>
      <c r="U153" s="2">
        <v>45937.008684490742</v>
      </c>
      <c r="V153" t="s">
        <v>37</v>
      </c>
      <c r="W153" t="s">
        <v>38</v>
      </c>
      <c r="X153" s="3" t="s">
        <v>51</v>
      </c>
      <c r="Y153" t="s">
        <v>67</v>
      </c>
      <c r="AD153" t="s">
        <v>522</v>
      </c>
    </row>
    <row r="154" spans="1:30" ht="15" customHeight="1" x14ac:dyDescent="0.25">
      <c r="A154">
        <v>40867</v>
      </c>
      <c r="B154" s="1">
        <v>45930</v>
      </c>
      <c r="C154" t="s">
        <v>57</v>
      </c>
      <c r="D154" t="s">
        <v>54</v>
      </c>
      <c r="E154" s="1">
        <v>45937</v>
      </c>
      <c r="F154" s="1">
        <v>45937</v>
      </c>
      <c r="G154" t="s">
        <v>57</v>
      </c>
      <c r="H154">
        <v>39685334</v>
      </c>
      <c r="I154" t="s">
        <v>517</v>
      </c>
      <c r="J154" t="str">
        <f>IF(
   COUNTIFS(
      $E$2:E154,TRIM(UPPER(E154)),
      $G$2:G154,TRIM(UPPER(G154)),
      $C$2:C154,TEXT(C154,"aaaa-mm-dd"),
      $I$2:I154,TEXT(I154,"0")
   )&gt;1,
   "Duplicado",
   "Único"
)</f>
        <v>Único</v>
      </c>
      <c r="K154">
        <v>3145811197</v>
      </c>
      <c r="L154" t="s">
        <v>518</v>
      </c>
      <c r="M154" s="1">
        <v>23166</v>
      </c>
      <c r="N154">
        <v>62</v>
      </c>
      <c r="O154">
        <v>1</v>
      </c>
      <c r="P154" t="s">
        <v>359</v>
      </c>
      <c r="Q154" t="s">
        <v>519</v>
      </c>
      <c r="S154" t="s">
        <v>520</v>
      </c>
      <c r="T154" t="s">
        <v>521</v>
      </c>
      <c r="U154" s="2">
        <v>45930.006164004626</v>
      </c>
      <c r="V154" t="s">
        <v>37</v>
      </c>
      <c r="W154" t="s">
        <v>94</v>
      </c>
      <c r="X154" s="3" t="s">
        <v>51</v>
      </c>
      <c r="Y154" t="s">
        <v>67</v>
      </c>
      <c r="AD154" s="4">
        <v>80000</v>
      </c>
    </row>
    <row r="155" spans="1:30" ht="15" customHeight="1" x14ac:dyDescent="0.25">
      <c r="A155">
        <v>43669</v>
      </c>
      <c r="B155" s="1">
        <v>45940</v>
      </c>
      <c r="C155" t="s">
        <v>57</v>
      </c>
      <c r="D155" t="s">
        <v>54</v>
      </c>
      <c r="E155" s="1">
        <v>45961</v>
      </c>
      <c r="F155" s="1">
        <v>45961</v>
      </c>
      <c r="G155" t="s">
        <v>57</v>
      </c>
      <c r="H155">
        <v>1129518765</v>
      </c>
      <c r="I155" t="s">
        <v>722</v>
      </c>
      <c r="J155" t="str">
        <f>IF(
   COUNTIFS(
      $E$2:E155,TRIM(UPPER(E155)),
      $G$2:G155,TRIM(UPPER(G155)),
      $C$2:C155,TEXT(C155,"aaaa-mm-dd"),
      $I$2:I155,TEXT(I155,"0")
   )&gt;1,
   "Duplicado",
   "Único"
)</f>
        <v>Único</v>
      </c>
      <c r="K155">
        <v>3126940934</v>
      </c>
      <c r="L155" t="s">
        <v>723</v>
      </c>
      <c r="P155" t="s">
        <v>32</v>
      </c>
      <c r="Q155" t="s">
        <v>724</v>
      </c>
      <c r="R155" t="s">
        <v>322</v>
      </c>
      <c r="S155" t="s">
        <v>134</v>
      </c>
      <c r="T155" t="s">
        <v>725</v>
      </c>
      <c r="U155" s="2">
        <v>45940.010976967591</v>
      </c>
      <c r="V155" t="s">
        <v>37</v>
      </c>
      <c r="W155" t="s">
        <v>136</v>
      </c>
      <c r="AD155" t="s">
        <v>582</v>
      </c>
    </row>
    <row r="156" spans="1:30" ht="15" customHeight="1" x14ac:dyDescent="0.25">
      <c r="A156">
        <v>47066</v>
      </c>
      <c r="B156" s="1">
        <v>45958</v>
      </c>
      <c r="C156" t="s">
        <v>57</v>
      </c>
      <c r="D156" t="s">
        <v>828</v>
      </c>
      <c r="E156" s="1">
        <v>45958</v>
      </c>
      <c r="F156" s="1">
        <v>45958</v>
      </c>
      <c r="G156" t="s">
        <v>57</v>
      </c>
      <c r="H156">
        <v>1032439660</v>
      </c>
      <c r="I156" t="s">
        <v>806</v>
      </c>
      <c r="J156" t="str">
        <f>IF(
   COUNTIFS(
      $E$2:E156,TRIM(UPPER(E156)),
      $G$2:G156,TRIM(UPPER(G156)),
      $C$2:C156,TEXT(C156,"aaaa-mm-dd"),
      $I$2:I156,TEXT(I156,"0")
   )&gt;1,
   "Duplicado",
   "Único"
)</f>
        <v>Único</v>
      </c>
      <c r="K156">
        <v>3132615394</v>
      </c>
      <c r="L156" t="s">
        <v>807</v>
      </c>
      <c r="M156" s="1">
        <v>33139</v>
      </c>
      <c r="N156">
        <v>35</v>
      </c>
      <c r="P156" t="s">
        <v>99</v>
      </c>
      <c r="Q156" t="s">
        <v>808</v>
      </c>
      <c r="R156" t="s">
        <v>809</v>
      </c>
      <c r="S156" t="s">
        <v>810</v>
      </c>
      <c r="T156" t="s">
        <v>134</v>
      </c>
      <c r="U156" s="2">
        <v>45958.010233217596</v>
      </c>
      <c r="V156" t="s">
        <v>37</v>
      </c>
      <c r="W156" t="s">
        <v>89</v>
      </c>
      <c r="AD156" t="s">
        <v>811</v>
      </c>
    </row>
    <row r="157" spans="1:30" ht="15" customHeight="1" x14ac:dyDescent="0.25">
      <c r="A157">
        <v>46959</v>
      </c>
      <c r="B157" s="1">
        <v>45958</v>
      </c>
      <c r="C157" t="s">
        <v>53</v>
      </c>
      <c r="D157" t="s">
        <v>828</v>
      </c>
      <c r="E157" s="1">
        <v>45959</v>
      </c>
      <c r="F157" s="1">
        <v>45959</v>
      </c>
      <c r="G157" t="s">
        <v>91</v>
      </c>
      <c r="H157">
        <v>22584466</v>
      </c>
      <c r="I157" t="s">
        <v>107</v>
      </c>
      <c r="J157" t="str">
        <f>IF(
   COUNTIFS(
      $E$2:E157,TRIM(UPPER(E157)),
      $G$2:G157,TRIM(UPPER(G157)),
      $C$2:C157,TEXT(C157,"aaaa-mm-dd"),
      $I$2:I157,TEXT(I157,"0")
   )&gt;1,
   "Duplicado",
   "Único"
)</f>
        <v>Único</v>
      </c>
      <c r="K157">
        <v>3205325349</v>
      </c>
      <c r="L157" t="s">
        <v>108</v>
      </c>
      <c r="M157" s="1">
        <v>29669</v>
      </c>
      <c r="N157">
        <v>44</v>
      </c>
      <c r="O157">
        <v>1</v>
      </c>
      <c r="P157" t="s">
        <v>32</v>
      </c>
      <c r="Q157" t="s">
        <v>109</v>
      </c>
      <c r="R157" t="s">
        <v>110</v>
      </c>
      <c r="S157" t="s">
        <v>111</v>
      </c>
      <c r="T157" t="s">
        <v>112</v>
      </c>
      <c r="U157" s="2">
        <v>45958.006244675926</v>
      </c>
      <c r="V157" t="s">
        <v>37</v>
      </c>
      <c r="W157" t="s">
        <v>38</v>
      </c>
      <c r="AD157" t="s">
        <v>113</v>
      </c>
    </row>
    <row r="158" spans="1:30" ht="15" customHeight="1" x14ac:dyDescent="0.25">
      <c r="A158">
        <v>45411</v>
      </c>
      <c r="B158" s="1">
        <v>45950</v>
      </c>
      <c r="C158" t="s">
        <v>53</v>
      </c>
      <c r="D158" t="s">
        <v>81</v>
      </c>
      <c r="E158" s="1">
        <v>45951</v>
      </c>
      <c r="F158" s="1">
        <v>45951</v>
      </c>
      <c r="G158" t="s">
        <v>82</v>
      </c>
      <c r="H158">
        <v>22584466</v>
      </c>
      <c r="I158" t="s">
        <v>107</v>
      </c>
      <c r="J158" t="str">
        <f>IF(
   COUNTIFS(
      $E$2:E158,TRIM(UPPER(E158)),
      $G$2:G158,TRIM(UPPER(G158)),
      $C$2:C158,TEXT(C158,"aaaa-mm-dd"),
      $I$2:I158,TEXT(I158,"0")
   )&gt;1,
   "Duplicado",
   "Único"
)</f>
        <v>Único</v>
      </c>
      <c r="K158">
        <v>3205325349</v>
      </c>
      <c r="L158" t="s">
        <v>108</v>
      </c>
      <c r="M158" s="1">
        <v>29669</v>
      </c>
      <c r="N158">
        <v>44</v>
      </c>
      <c r="O158">
        <v>1</v>
      </c>
      <c r="P158" t="s">
        <v>32</v>
      </c>
      <c r="Q158" t="s">
        <v>109</v>
      </c>
      <c r="R158" t="s">
        <v>110</v>
      </c>
      <c r="S158" t="s">
        <v>111</v>
      </c>
      <c r="T158" t="s">
        <v>112</v>
      </c>
      <c r="U158" s="2">
        <v>45950.011403009259</v>
      </c>
      <c r="V158" t="s">
        <v>37</v>
      </c>
      <c r="W158" t="s">
        <v>89</v>
      </c>
      <c r="AD158" t="s">
        <v>114</v>
      </c>
    </row>
    <row r="159" spans="1:30" ht="15" customHeight="1" x14ac:dyDescent="0.25">
      <c r="A159">
        <v>43950</v>
      </c>
      <c r="B159" s="1">
        <v>45944</v>
      </c>
      <c r="C159" t="s">
        <v>53</v>
      </c>
      <c r="D159" t="s">
        <v>828</v>
      </c>
      <c r="E159" s="1">
        <v>45945</v>
      </c>
      <c r="F159" s="1">
        <v>45945</v>
      </c>
      <c r="G159" t="s">
        <v>91</v>
      </c>
      <c r="H159">
        <v>22584466</v>
      </c>
      <c r="I159" t="s">
        <v>107</v>
      </c>
      <c r="J159" t="str">
        <f>IF(
   COUNTIFS(
      $E$2:E159,TRIM(UPPER(E159)),
      $G$2:G159,TRIM(UPPER(G159)),
      $C$2:C159,TEXT(C159,"aaaa-mm-dd"),
      $I$2:I159,TEXT(I159,"0")
   )&gt;1,
   "Duplicado",
   "Único"
)</f>
        <v>Único</v>
      </c>
      <c r="K159">
        <v>3205325349</v>
      </c>
      <c r="L159" t="s">
        <v>108</v>
      </c>
      <c r="M159" s="1">
        <v>29669</v>
      </c>
      <c r="N159">
        <v>44</v>
      </c>
      <c r="O159">
        <v>1</v>
      </c>
      <c r="P159" t="s">
        <v>32</v>
      </c>
      <c r="Q159" t="s">
        <v>109</v>
      </c>
      <c r="R159" t="s">
        <v>110</v>
      </c>
      <c r="S159" t="s">
        <v>111</v>
      </c>
      <c r="T159" t="s">
        <v>112</v>
      </c>
      <c r="U159" s="2">
        <v>45944.005746180555</v>
      </c>
      <c r="V159" t="s">
        <v>37</v>
      </c>
      <c r="W159" t="s">
        <v>38</v>
      </c>
      <c r="AD159" t="s">
        <v>115</v>
      </c>
    </row>
    <row r="160" spans="1:30" ht="15" customHeight="1" x14ac:dyDescent="0.25">
      <c r="A160">
        <v>41975</v>
      </c>
      <c r="B160" s="1">
        <v>45933</v>
      </c>
      <c r="C160" t="s">
        <v>53</v>
      </c>
      <c r="D160" t="s">
        <v>70</v>
      </c>
      <c r="E160" s="1">
        <v>45940</v>
      </c>
      <c r="F160" s="1">
        <v>45940</v>
      </c>
      <c r="G160" t="s">
        <v>91</v>
      </c>
      <c r="H160">
        <v>22584466</v>
      </c>
      <c r="I160" t="s">
        <v>107</v>
      </c>
      <c r="J160" t="str">
        <f>IF(
   COUNTIFS(
      $E$2:E160,TRIM(UPPER(E160)),
      $G$2:G160,TRIM(UPPER(G160)),
      $C$2:C160,TEXT(C160,"aaaa-mm-dd"),
      $I$2:I160,TEXT(I160,"0")
   )&gt;1,
   "Duplicado",
   "Único"
)</f>
        <v>Único</v>
      </c>
      <c r="K160">
        <v>3205325349</v>
      </c>
      <c r="L160" t="s">
        <v>108</v>
      </c>
      <c r="M160" s="1">
        <v>29669</v>
      </c>
      <c r="N160">
        <v>44</v>
      </c>
      <c r="O160">
        <v>1</v>
      </c>
      <c r="P160" t="s">
        <v>32</v>
      </c>
      <c r="Q160" t="s">
        <v>109</v>
      </c>
      <c r="R160" t="s">
        <v>110</v>
      </c>
      <c r="S160" t="s">
        <v>111</v>
      </c>
      <c r="T160" t="s">
        <v>112</v>
      </c>
      <c r="U160" s="2">
        <v>45933.00864861111</v>
      </c>
      <c r="V160" t="s">
        <v>37</v>
      </c>
      <c r="W160" t="s">
        <v>116</v>
      </c>
      <c r="AD160" t="s">
        <v>117</v>
      </c>
    </row>
    <row r="161" spans="1:30" ht="15" customHeight="1" x14ac:dyDescent="0.25">
      <c r="A161">
        <v>44390</v>
      </c>
      <c r="B161" s="1">
        <v>45945</v>
      </c>
      <c r="C161" t="s">
        <v>53</v>
      </c>
      <c r="D161" t="s">
        <v>828</v>
      </c>
      <c r="E161" s="1">
        <v>45951</v>
      </c>
      <c r="F161" s="1">
        <v>45951</v>
      </c>
      <c r="G161" t="s">
        <v>91</v>
      </c>
      <c r="H161">
        <v>22584466</v>
      </c>
      <c r="I161" t="s">
        <v>107</v>
      </c>
      <c r="J161" t="str">
        <f>IF(
   COUNTIFS(
      $E$2:E161,TRIM(UPPER(E161)),
      $G$2:G161,TRIM(UPPER(G161)),
      $C$2:C161,TEXT(C161,"aaaa-mm-dd"),
      $I$2:I161,TEXT(I161,"0")
   )&gt;1,
   "Duplicado",
   "Único"
)</f>
        <v>Único</v>
      </c>
      <c r="K161">
        <v>3205325349</v>
      </c>
      <c r="L161" t="s">
        <v>108</v>
      </c>
      <c r="M161" s="1">
        <v>29669</v>
      </c>
      <c r="N161">
        <v>44</v>
      </c>
      <c r="O161">
        <v>1</v>
      </c>
      <c r="P161" t="s">
        <v>32</v>
      </c>
      <c r="Q161" t="s">
        <v>109</v>
      </c>
      <c r="R161" t="s">
        <v>110</v>
      </c>
      <c r="S161" t="s">
        <v>111</v>
      </c>
      <c r="T161" t="s">
        <v>112</v>
      </c>
      <c r="U161" s="2">
        <v>45945.010364351852</v>
      </c>
      <c r="V161" t="s">
        <v>37</v>
      </c>
      <c r="W161" t="s">
        <v>89</v>
      </c>
      <c r="AD161" t="s">
        <v>118</v>
      </c>
    </row>
    <row r="162" spans="1:30" ht="15" customHeight="1" x14ac:dyDescent="0.25">
      <c r="A162">
        <v>40811</v>
      </c>
      <c r="B162" s="1">
        <v>45929</v>
      </c>
      <c r="C162" t="s">
        <v>53</v>
      </c>
      <c r="D162" t="s">
        <v>70</v>
      </c>
      <c r="E162" s="1">
        <v>45933</v>
      </c>
      <c r="F162" s="1">
        <v>45933</v>
      </c>
      <c r="G162" t="s">
        <v>91</v>
      </c>
      <c r="H162">
        <v>22584466</v>
      </c>
      <c r="I162" t="s">
        <v>107</v>
      </c>
      <c r="J162" t="str">
        <f>IF(
   COUNTIFS(
      $E$2:E162,TRIM(UPPER(E162)),
      $G$2:G162,TRIM(UPPER(G162)),
      $C$2:C162,TEXT(C162,"aaaa-mm-dd"),
      $I$2:I162,TEXT(I162,"0")
   )&gt;1,
   "Duplicado",
   "Único"
)</f>
        <v>Único</v>
      </c>
      <c r="K162">
        <v>3205325349</v>
      </c>
      <c r="L162" t="s">
        <v>108</v>
      </c>
      <c r="M162" s="1">
        <v>29669</v>
      </c>
      <c r="N162">
        <v>44</v>
      </c>
      <c r="O162">
        <v>1</v>
      </c>
      <c r="P162" t="s">
        <v>32</v>
      </c>
      <c r="Q162" t="s">
        <v>109</v>
      </c>
      <c r="R162" t="s">
        <v>110</v>
      </c>
      <c r="S162" t="s">
        <v>111</v>
      </c>
      <c r="T162" t="s">
        <v>112</v>
      </c>
      <c r="U162" s="2">
        <v>45929.010443749998</v>
      </c>
      <c r="V162" t="s">
        <v>37</v>
      </c>
      <c r="W162" t="s">
        <v>38</v>
      </c>
      <c r="AD162" t="s">
        <v>119</v>
      </c>
    </row>
    <row r="163" spans="1:30" ht="15" customHeight="1" x14ac:dyDescent="0.25">
      <c r="A163">
        <v>44396</v>
      </c>
      <c r="B163" s="1">
        <v>45945</v>
      </c>
      <c r="C163" t="s">
        <v>830</v>
      </c>
      <c r="D163" t="s">
        <v>81</v>
      </c>
      <c r="E163" s="1">
        <v>45952</v>
      </c>
      <c r="F163" s="1">
        <v>45952</v>
      </c>
      <c r="G163" t="s">
        <v>71</v>
      </c>
      <c r="H163">
        <v>22584466</v>
      </c>
      <c r="I163" t="s">
        <v>107</v>
      </c>
      <c r="J163" t="str">
        <f>IF(
   COUNTIFS(
      $E$2:E163,TRIM(UPPER(E163)),
      $G$2:G163,TRIM(UPPER(G163)),
      $C$2:C163,TEXT(C163,"aaaa-mm-dd"),
      $I$2:I163,TEXT(I163,"0")
   )&gt;1,
   "Duplicado",
   "Único"
)</f>
        <v>Único</v>
      </c>
      <c r="K163">
        <v>3205325349</v>
      </c>
      <c r="L163" t="s">
        <v>108</v>
      </c>
      <c r="M163" s="1">
        <v>29669</v>
      </c>
      <c r="N163">
        <v>44</v>
      </c>
      <c r="O163">
        <v>1</v>
      </c>
      <c r="P163" t="s">
        <v>32</v>
      </c>
      <c r="Q163" t="s">
        <v>109</v>
      </c>
      <c r="R163" t="s">
        <v>110</v>
      </c>
      <c r="S163" t="s">
        <v>111</v>
      </c>
      <c r="T163" t="s">
        <v>112</v>
      </c>
      <c r="U163" s="2">
        <v>45945.010455324074</v>
      </c>
      <c r="V163" t="s">
        <v>37</v>
      </c>
      <c r="W163" t="s">
        <v>89</v>
      </c>
      <c r="AD163" t="s">
        <v>120</v>
      </c>
    </row>
    <row r="164" spans="1:30" ht="15" customHeight="1" x14ac:dyDescent="0.25">
      <c r="A164">
        <v>43951</v>
      </c>
      <c r="B164" s="1">
        <v>45944</v>
      </c>
      <c r="C164" t="s">
        <v>53</v>
      </c>
      <c r="D164" t="s">
        <v>81</v>
      </c>
      <c r="E164" s="1">
        <v>45945</v>
      </c>
      <c r="F164" s="1">
        <v>45945</v>
      </c>
      <c r="G164" t="s">
        <v>82</v>
      </c>
      <c r="H164">
        <v>22584466</v>
      </c>
      <c r="I164" t="s">
        <v>107</v>
      </c>
      <c r="J164" t="str">
        <f>IF(
   COUNTIFS(
      $E$2:E164,TRIM(UPPER(E164)),
      $G$2:G164,TRIM(UPPER(G164)),
      $C$2:C164,TEXT(C164,"aaaa-mm-dd"),
      $I$2:I164,TEXT(I164,"0")
   )&gt;1,
   "Duplicado",
   "Único"
)</f>
        <v>Único</v>
      </c>
      <c r="K164">
        <v>3205325349</v>
      </c>
      <c r="L164" t="s">
        <v>108</v>
      </c>
      <c r="M164" s="1">
        <v>29669</v>
      </c>
      <c r="N164">
        <v>44</v>
      </c>
      <c r="O164">
        <v>1</v>
      </c>
      <c r="P164" t="s">
        <v>32</v>
      </c>
      <c r="Q164" t="s">
        <v>109</v>
      </c>
      <c r="R164" t="s">
        <v>110</v>
      </c>
      <c r="S164" t="s">
        <v>111</v>
      </c>
      <c r="T164" t="s">
        <v>112</v>
      </c>
      <c r="U164" s="2">
        <v>45944.005755902777</v>
      </c>
      <c r="V164" t="s">
        <v>37</v>
      </c>
      <c r="W164" t="s">
        <v>94</v>
      </c>
      <c r="AD164" t="s">
        <v>121</v>
      </c>
    </row>
    <row r="165" spans="1:30" ht="15" customHeight="1" x14ac:dyDescent="0.25">
      <c r="A165">
        <v>46507</v>
      </c>
      <c r="B165" s="1">
        <v>45955</v>
      </c>
      <c r="C165" t="s">
        <v>513</v>
      </c>
      <c r="D165" t="s">
        <v>157</v>
      </c>
      <c r="E165" s="1">
        <v>45961</v>
      </c>
      <c r="F165" s="1">
        <v>45961</v>
      </c>
      <c r="G165" t="s">
        <v>642</v>
      </c>
      <c r="H165">
        <v>52452066</v>
      </c>
      <c r="I165" t="s">
        <v>643</v>
      </c>
      <c r="J165" t="str">
        <f>IF(
   COUNTIFS(
      $E$2:E165,TRIM(UPPER(E165)),
      $G$2:G165,TRIM(UPPER(G165)),
      $C$2:C165,TEXT(C165,"aaaa-mm-dd"),
      $I$2:I165,TEXT(I165,"0")
   )&gt;1,
   "Duplicado",
   "Único"
)</f>
        <v>Único</v>
      </c>
      <c r="K165">
        <v>3145208047</v>
      </c>
      <c r="L165" t="s">
        <v>644</v>
      </c>
      <c r="M165" s="1">
        <v>28682</v>
      </c>
      <c r="N165">
        <v>47</v>
      </c>
      <c r="O165">
        <v>1</v>
      </c>
      <c r="P165" t="s">
        <v>61</v>
      </c>
      <c r="Q165" t="s">
        <v>645</v>
      </c>
      <c r="R165" t="s">
        <v>646</v>
      </c>
      <c r="S165" t="s">
        <v>647</v>
      </c>
      <c r="T165" t="s">
        <v>648</v>
      </c>
      <c r="U165" s="2">
        <v>45955.006609722222</v>
      </c>
      <c r="V165" t="s">
        <v>37</v>
      </c>
      <c r="W165" t="s">
        <v>89</v>
      </c>
      <c r="AD165" t="s">
        <v>649</v>
      </c>
    </row>
    <row r="166" spans="1:30" ht="15" customHeight="1" x14ac:dyDescent="0.25">
      <c r="A166">
        <v>46360</v>
      </c>
      <c r="B166" s="1">
        <v>45954</v>
      </c>
      <c r="C166" t="s">
        <v>57</v>
      </c>
      <c r="D166" t="s">
        <v>54</v>
      </c>
      <c r="E166" s="1">
        <v>45954</v>
      </c>
      <c r="F166" s="1">
        <v>45954</v>
      </c>
      <c r="G166" t="s">
        <v>57</v>
      </c>
      <c r="H166">
        <v>52452066</v>
      </c>
      <c r="I166" t="s">
        <v>643</v>
      </c>
      <c r="J166" t="str">
        <f>IF(
   COUNTIFS(
      $E$2:E166,TRIM(UPPER(E166)),
      $G$2:G166,TRIM(UPPER(G166)),
      $C$2:C166,TEXT(C166,"aaaa-mm-dd"),
      $I$2:I166,TEXT(I166,"0")
   )&gt;1,
   "Duplicado",
   "Único"
)</f>
        <v>Único</v>
      </c>
      <c r="K166">
        <v>3145208047</v>
      </c>
      <c r="L166" t="s">
        <v>644</v>
      </c>
      <c r="M166" s="1">
        <v>28682</v>
      </c>
      <c r="N166">
        <v>47</v>
      </c>
      <c r="O166">
        <v>1</v>
      </c>
      <c r="P166" t="s">
        <v>61</v>
      </c>
      <c r="Q166" t="s">
        <v>645</v>
      </c>
      <c r="R166" t="s">
        <v>646</v>
      </c>
      <c r="S166" t="s">
        <v>647</v>
      </c>
      <c r="T166" t="s">
        <v>648</v>
      </c>
      <c r="U166" s="2">
        <v>45954.008800694442</v>
      </c>
      <c r="V166" t="s">
        <v>37</v>
      </c>
      <c r="W166" t="s">
        <v>50</v>
      </c>
      <c r="X166" t="s">
        <v>650</v>
      </c>
      <c r="AD166" t="s">
        <v>651</v>
      </c>
    </row>
    <row r="167" spans="1:30" ht="15" customHeight="1" x14ac:dyDescent="0.25">
      <c r="A167">
        <v>42657</v>
      </c>
      <c r="B167" s="1">
        <v>45936</v>
      </c>
      <c r="C167" t="s">
        <v>53</v>
      </c>
      <c r="D167" t="s">
        <v>828</v>
      </c>
      <c r="E167" s="1">
        <v>45936</v>
      </c>
      <c r="F167" s="1">
        <v>45936</v>
      </c>
      <c r="G167" t="s">
        <v>55</v>
      </c>
      <c r="H167">
        <v>1052389299</v>
      </c>
      <c r="I167" t="s">
        <v>455</v>
      </c>
      <c r="J167" t="str">
        <f>IF(
   COUNTIFS(
      $E$2:E167,TRIM(UPPER(E167)),
      $G$2:G167,TRIM(UPPER(G167)),
      $C$2:C167,TEXT(C167,"aaaa-mm-dd"),
      $I$2:I167,TEXT(I167,"0")
   )&gt;1,
   "Duplicado",
   "Único"
)</f>
        <v>Único</v>
      </c>
      <c r="K167">
        <v>3123563806</v>
      </c>
      <c r="L167" t="s">
        <v>456</v>
      </c>
      <c r="M167" s="1">
        <v>32819</v>
      </c>
      <c r="N167">
        <v>36</v>
      </c>
      <c r="O167">
        <v>1</v>
      </c>
      <c r="P167" t="s">
        <v>45</v>
      </c>
      <c r="Q167" t="s">
        <v>457</v>
      </c>
      <c r="R167" t="s">
        <v>458</v>
      </c>
      <c r="S167" t="s">
        <v>459</v>
      </c>
      <c r="T167" t="s">
        <v>460</v>
      </c>
      <c r="U167" s="2">
        <v>45936.007548032409</v>
      </c>
      <c r="V167" t="s">
        <v>37</v>
      </c>
      <c r="W167" t="s">
        <v>38</v>
      </c>
      <c r="AD167" t="s">
        <v>461</v>
      </c>
    </row>
    <row r="168" spans="1:30" ht="15" customHeight="1" x14ac:dyDescent="0.25">
      <c r="A168">
        <v>42630</v>
      </c>
      <c r="B168" s="1">
        <v>45936</v>
      </c>
      <c r="C168" t="s">
        <v>57</v>
      </c>
      <c r="D168" t="s">
        <v>828</v>
      </c>
      <c r="E168" s="1">
        <v>45936</v>
      </c>
      <c r="F168" s="1">
        <v>45936</v>
      </c>
      <c r="G168" t="s">
        <v>57</v>
      </c>
      <c r="H168">
        <v>1052389299</v>
      </c>
      <c r="I168" t="s">
        <v>455</v>
      </c>
      <c r="J168" t="str">
        <f>IF(
   COUNTIFS(
      $E$2:E168,TRIM(UPPER(E168)),
      $G$2:G168,TRIM(UPPER(G168)),
      $C$2:C168,TEXT(C168,"aaaa-mm-dd"),
      $I$2:I168,TEXT(I168,"0")
   )&gt;1,
   "Duplicado",
   "Único"
)</f>
        <v>Único</v>
      </c>
      <c r="K168">
        <v>3123563806</v>
      </c>
      <c r="L168" t="s">
        <v>456</v>
      </c>
      <c r="M168" s="1">
        <v>32819</v>
      </c>
      <c r="N168">
        <v>36</v>
      </c>
      <c r="O168">
        <v>1</v>
      </c>
      <c r="P168" t="s">
        <v>45</v>
      </c>
      <c r="Q168" t="s">
        <v>457</v>
      </c>
      <c r="R168" t="s">
        <v>458</v>
      </c>
      <c r="S168" t="s">
        <v>459</v>
      </c>
      <c r="T168" t="s">
        <v>460</v>
      </c>
      <c r="U168" s="2">
        <v>45936.00647083333</v>
      </c>
      <c r="V168" t="s">
        <v>37</v>
      </c>
      <c r="W168" t="s">
        <v>38</v>
      </c>
      <c r="X168" s="3" t="s">
        <v>171</v>
      </c>
      <c r="AD168" t="s">
        <v>462</v>
      </c>
    </row>
    <row r="169" spans="1:30" ht="15" customHeight="1" x14ac:dyDescent="0.25">
      <c r="A169">
        <v>47097</v>
      </c>
      <c r="B169" s="1">
        <v>45958</v>
      </c>
      <c r="C169" t="s">
        <v>53</v>
      </c>
      <c r="D169" t="s">
        <v>54</v>
      </c>
      <c r="E169" s="1">
        <v>45961</v>
      </c>
      <c r="F169" s="1">
        <v>45961</v>
      </c>
      <c r="G169" t="s">
        <v>91</v>
      </c>
      <c r="H169">
        <v>72308969</v>
      </c>
      <c r="I169" t="s">
        <v>415</v>
      </c>
      <c r="J169" t="str">
        <f>IF(
   COUNTIFS(
      $E$2:E169,TRIM(UPPER(E169)),
      $G$2:G169,TRIM(UPPER(G169)),
      $C$2:C169,TEXT(C169,"aaaa-mm-dd"),
      $I$2:I169,TEXT(I169,"0")
   )&gt;1,
   "Duplicado",
   "Único"
)</f>
        <v>Único</v>
      </c>
      <c r="K169">
        <v>3002028084</v>
      </c>
      <c r="L169" t="s">
        <v>416</v>
      </c>
      <c r="M169" s="1">
        <v>26476</v>
      </c>
      <c r="N169">
        <v>53</v>
      </c>
      <c r="O169">
        <v>1</v>
      </c>
      <c r="P169" t="s">
        <v>45</v>
      </c>
      <c r="Q169" t="s">
        <v>417</v>
      </c>
      <c r="R169" t="s">
        <v>418</v>
      </c>
      <c r="S169" t="s">
        <v>419</v>
      </c>
      <c r="T169" t="s">
        <v>420</v>
      </c>
      <c r="U169" s="2">
        <v>45958.010987268521</v>
      </c>
      <c r="V169" t="s">
        <v>37</v>
      </c>
      <c r="W169" t="s">
        <v>421</v>
      </c>
      <c r="AD169" t="s">
        <v>422</v>
      </c>
    </row>
    <row r="170" spans="1:30" ht="15" customHeight="1" x14ac:dyDescent="0.25">
      <c r="A170">
        <v>42690</v>
      </c>
      <c r="B170" s="1">
        <v>45936</v>
      </c>
      <c r="C170" t="s">
        <v>53</v>
      </c>
      <c r="D170" t="s">
        <v>54</v>
      </c>
      <c r="E170" s="1">
        <v>45940</v>
      </c>
      <c r="F170" s="1">
        <v>45940</v>
      </c>
      <c r="G170" t="s">
        <v>145</v>
      </c>
      <c r="H170">
        <v>72308969</v>
      </c>
      <c r="I170" t="s">
        <v>415</v>
      </c>
      <c r="J170" t="str">
        <f>IF(
   COUNTIFS(
      $E$2:E170,TRIM(UPPER(E170)),
      $G$2:G170,TRIM(UPPER(G170)),
      $C$2:C170,TEXT(C170,"aaaa-mm-dd"),
      $I$2:I170,TEXT(I170,"0")
   )&gt;1,
   "Duplicado",
   "Único"
)</f>
        <v>Único</v>
      </c>
      <c r="K170">
        <v>3002028084</v>
      </c>
      <c r="L170" t="s">
        <v>416</v>
      </c>
      <c r="M170" s="1">
        <v>26476</v>
      </c>
      <c r="N170">
        <v>53</v>
      </c>
      <c r="O170">
        <v>1</v>
      </c>
      <c r="P170" t="s">
        <v>45</v>
      </c>
      <c r="Q170" t="s">
        <v>417</v>
      </c>
      <c r="R170" t="s">
        <v>418</v>
      </c>
      <c r="S170" t="s">
        <v>419</v>
      </c>
      <c r="T170" t="s">
        <v>420</v>
      </c>
      <c r="U170" s="2">
        <v>45936.008240972224</v>
      </c>
      <c r="V170" t="s">
        <v>37</v>
      </c>
      <c r="W170" t="s">
        <v>38</v>
      </c>
      <c r="AD170" t="s">
        <v>423</v>
      </c>
    </row>
    <row r="171" spans="1:30" ht="15" customHeight="1" x14ac:dyDescent="0.25">
      <c r="A171">
        <v>42689</v>
      </c>
      <c r="B171" s="1">
        <v>45936</v>
      </c>
      <c r="C171" t="s">
        <v>53</v>
      </c>
      <c r="D171" t="s">
        <v>81</v>
      </c>
      <c r="E171" s="1">
        <v>45940</v>
      </c>
      <c r="F171" s="1">
        <v>45940</v>
      </c>
      <c r="G171" t="s">
        <v>82</v>
      </c>
      <c r="H171">
        <v>72308969</v>
      </c>
      <c r="I171" t="s">
        <v>415</v>
      </c>
      <c r="J171" t="str">
        <f>IF(
   COUNTIFS(
      $E$2:E171,TRIM(UPPER(E171)),
      $G$2:G171,TRIM(UPPER(G171)),
      $C$2:C171,TEXT(C171,"aaaa-mm-dd"),
      $I$2:I171,TEXT(I171,"0")
   )&gt;1,
   "Duplicado",
   "Único"
)</f>
        <v>Único</v>
      </c>
      <c r="K171">
        <v>3002028084</v>
      </c>
      <c r="L171" t="s">
        <v>416</v>
      </c>
      <c r="M171" s="1">
        <v>26476</v>
      </c>
      <c r="N171">
        <v>53</v>
      </c>
      <c r="O171">
        <v>1</v>
      </c>
      <c r="P171" t="s">
        <v>45</v>
      </c>
      <c r="Q171" t="s">
        <v>417</v>
      </c>
      <c r="R171" t="s">
        <v>418</v>
      </c>
      <c r="S171" t="s">
        <v>419</v>
      </c>
      <c r="T171" t="s">
        <v>420</v>
      </c>
      <c r="U171" s="2">
        <v>45936.008234374996</v>
      </c>
      <c r="V171" t="s">
        <v>37</v>
      </c>
      <c r="W171" t="s">
        <v>94</v>
      </c>
      <c r="AD171" t="s">
        <v>424</v>
      </c>
    </row>
    <row r="172" spans="1:30" ht="15" customHeight="1" x14ac:dyDescent="0.25">
      <c r="A172">
        <v>42144</v>
      </c>
      <c r="B172" s="1">
        <v>45934</v>
      </c>
      <c r="C172" t="s">
        <v>53</v>
      </c>
      <c r="D172" t="s">
        <v>81</v>
      </c>
      <c r="E172" s="1">
        <v>45936</v>
      </c>
      <c r="F172" s="1">
        <v>45936</v>
      </c>
      <c r="G172" t="s">
        <v>82</v>
      </c>
      <c r="H172">
        <v>72308969</v>
      </c>
      <c r="I172" t="s">
        <v>415</v>
      </c>
      <c r="J172" t="str">
        <f>IF(
   COUNTIFS(
      $E$2:E172,TRIM(UPPER(E172)),
      $G$2:G172,TRIM(UPPER(G172)),
      $C$2:C172,TEXT(C172,"aaaa-mm-dd"),
      $I$2:I172,TEXT(I172,"0")
   )&gt;1,
   "Duplicado",
   "Único"
)</f>
        <v>Único</v>
      </c>
      <c r="K172">
        <v>3002028084</v>
      </c>
      <c r="L172" t="s">
        <v>416</v>
      </c>
      <c r="M172" s="1">
        <v>26476</v>
      </c>
      <c r="N172">
        <v>53</v>
      </c>
      <c r="O172">
        <v>1</v>
      </c>
      <c r="P172" t="s">
        <v>45</v>
      </c>
      <c r="Q172" t="s">
        <v>417</v>
      </c>
      <c r="R172" t="s">
        <v>418</v>
      </c>
      <c r="S172" t="s">
        <v>419</v>
      </c>
      <c r="T172" t="s">
        <v>420</v>
      </c>
      <c r="U172" s="2">
        <v>45934.007250462964</v>
      </c>
      <c r="V172" t="s">
        <v>37</v>
      </c>
      <c r="W172" t="s">
        <v>50</v>
      </c>
      <c r="AD172" t="s">
        <v>425</v>
      </c>
    </row>
    <row r="173" spans="1:30" ht="15" customHeight="1" x14ac:dyDescent="0.25">
      <c r="A173">
        <v>40420</v>
      </c>
      <c r="B173" s="1">
        <v>45926</v>
      </c>
      <c r="C173" t="s">
        <v>53</v>
      </c>
      <c r="D173" t="s">
        <v>70</v>
      </c>
      <c r="E173" s="1">
        <v>45936</v>
      </c>
      <c r="F173" s="1">
        <v>45936</v>
      </c>
      <c r="G173" t="s">
        <v>145</v>
      </c>
      <c r="H173">
        <v>72308969</v>
      </c>
      <c r="I173" t="s">
        <v>415</v>
      </c>
      <c r="J173" t="str">
        <f>IF(
   COUNTIFS(
      $E$2:E173,TRIM(UPPER(E173)),
      $G$2:G173,TRIM(UPPER(G173)),
      $C$2:C173,TEXT(C173,"aaaa-mm-dd"),
      $I$2:I173,TEXT(I173,"0")
   )&gt;1,
   "Duplicado",
   "Único"
)</f>
        <v>Único</v>
      </c>
      <c r="K173">
        <v>3002028084</v>
      </c>
      <c r="L173" t="s">
        <v>416</v>
      </c>
      <c r="M173" s="1">
        <v>26476</v>
      </c>
      <c r="N173">
        <v>53</v>
      </c>
      <c r="O173">
        <v>1</v>
      </c>
      <c r="P173" t="s">
        <v>45</v>
      </c>
      <c r="Q173" t="s">
        <v>417</v>
      </c>
      <c r="R173" t="s">
        <v>418</v>
      </c>
      <c r="S173" t="s">
        <v>419</v>
      </c>
      <c r="T173" t="s">
        <v>420</v>
      </c>
      <c r="U173" s="2">
        <v>45926.00787627315</v>
      </c>
      <c r="V173" t="s">
        <v>37</v>
      </c>
      <c r="W173" t="s">
        <v>50</v>
      </c>
      <c r="AD173" t="s">
        <v>426</v>
      </c>
    </row>
    <row r="174" spans="1:30" ht="15" customHeight="1" x14ac:dyDescent="0.25">
      <c r="A174">
        <v>47174</v>
      </c>
      <c r="B174" s="1">
        <v>45959</v>
      </c>
      <c r="C174" t="s">
        <v>57</v>
      </c>
      <c r="D174" t="s">
        <v>54</v>
      </c>
      <c r="E174" s="1">
        <v>45960</v>
      </c>
      <c r="F174" s="1">
        <v>45960</v>
      </c>
      <c r="G174" t="s">
        <v>57</v>
      </c>
      <c r="H174">
        <v>1051822245</v>
      </c>
      <c r="I174" t="s">
        <v>381</v>
      </c>
      <c r="J174" t="str">
        <f>IF(
   COUNTIFS(
      $E$2:E174,TRIM(UPPER(E174)),
      $G$2:G174,TRIM(UPPER(G174)),
      $C$2:C174,TEXT(C174,"aaaa-mm-dd"),
      $I$2:I174,TEXT(I174,"0")
   )&gt;1,
   "Duplicado",
   "Único"
)</f>
        <v>Único</v>
      </c>
      <c r="K174">
        <v>2977416842</v>
      </c>
      <c r="L174" t="s">
        <v>382</v>
      </c>
      <c r="P174" t="s">
        <v>359</v>
      </c>
      <c r="Q174" t="s">
        <v>383</v>
      </c>
      <c r="R174" t="s">
        <v>384</v>
      </c>
      <c r="S174" t="s">
        <v>385</v>
      </c>
      <c r="T174" t="s">
        <v>386</v>
      </c>
      <c r="U174" s="2">
        <v>45959.005951273146</v>
      </c>
      <c r="V174" t="s">
        <v>37</v>
      </c>
      <c r="W174" t="s">
        <v>38</v>
      </c>
      <c r="X174" s="3" t="s">
        <v>51</v>
      </c>
      <c r="Y174" t="s">
        <v>67</v>
      </c>
      <c r="Z174" t="s">
        <v>163</v>
      </c>
      <c r="AD174" t="s">
        <v>387</v>
      </c>
    </row>
    <row r="175" spans="1:30" ht="15" customHeight="1" x14ac:dyDescent="0.25">
      <c r="A175">
        <v>39271</v>
      </c>
      <c r="B175" s="1">
        <v>45916</v>
      </c>
      <c r="C175" t="s">
        <v>57</v>
      </c>
      <c r="D175" t="s">
        <v>828</v>
      </c>
      <c r="E175" s="1">
        <v>45960</v>
      </c>
      <c r="F175" s="1">
        <v>45960</v>
      </c>
      <c r="G175" t="s">
        <v>57</v>
      </c>
      <c r="H175">
        <v>1118806501</v>
      </c>
      <c r="I175" t="s">
        <v>697</v>
      </c>
      <c r="J175" t="str">
        <f>IF(
   COUNTIFS(
      $E$2:E175,TRIM(UPPER(E175)),
      $G$2:G175,TRIM(UPPER(G175)),
      $C$2:C175,TEXT(C175,"aaaa-mm-dd"),
      $I$2:I175,TEXT(I175,"0")
   )&gt;1,
   "Duplicado",
   "Único"
)</f>
        <v>Único</v>
      </c>
      <c r="K175">
        <v>3046183303</v>
      </c>
      <c r="L175" t="s">
        <v>698</v>
      </c>
      <c r="P175" t="s">
        <v>32</v>
      </c>
      <c r="Q175" t="s">
        <v>383</v>
      </c>
      <c r="R175" t="s">
        <v>699</v>
      </c>
      <c r="S175" t="s">
        <v>700</v>
      </c>
      <c r="T175" t="s">
        <v>701</v>
      </c>
      <c r="U175" s="2">
        <v>45916.012053935185</v>
      </c>
      <c r="V175" t="s">
        <v>37</v>
      </c>
      <c r="W175" t="s">
        <v>50</v>
      </c>
      <c r="AD175" t="s">
        <v>481</v>
      </c>
    </row>
    <row r="176" spans="1:30" ht="15" customHeight="1" x14ac:dyDescent="0.25">
      <c r="A176">
        <v>40942</v>
      </c>
      <c r="B176" s="1">
        <v>45930</v>
      </c>
      <c r="C176" t="s">
        <v>57</v>
      </c>
      <c r="D176" t="s">
        <v>54</v>
      </c>
      <c r="E176" s="1">
        <v>45934</v>
      </c>
      <c r="F176" s="1">
        <v>45934</v>
      </c>
      <c r="G176" t="s">
        <v>57</v>
      </c>
      <c r="H176">
        <v>1048288284</v>
      </c>
      <c r="I176" t="s">
        <v>482</v>
      </c>
      <c r="J176" t="str">
        <f>IF(
   COUNTIFS(
      $E$2:E176,TRIM(UPPER(E176)),
      $G$2:G176,TRIM(UPPER(G176)),
      $C$2:C176,TEXT(C176,"aaaa-mm-dd"),
      $I$2:I176,TEXT(I176,"0")
   )&gt;1,
   "Duplicado",
   "Único"
)</f>
        <v>Único</v>
      </c>
      <c r="K176">
        <v>3043113929</v>
      </c>
      <c r="L176" t="s">
        <v>483</v>
      </c>
      <c r="M176" s="1">
        <v>33343</v>
      </c>
      <c r="N176">
        <v>34</v>
      </c>
      <c r="O176">
        <v>1</v>
      </c>
      <c r="P176" t="s">
        <v>321</v>
      </c>
      <c r="Q176" t="s">
        <v>484</v>
      </c>
      <c r="R176" t="s">
        <v>76</v>
      </c>
      <c r="S176" t="s">
        <v>485</v>
      </c>
      <c r="T176" t="s">
        <v>486</v>
      </c>
      <c r="U176" s="2">
        <v>45930.008050231481</v>
      </c>
      <c r="V176" t="s">
        <v>37</v>
      </c>
      <c r="W176" t="s">
        <v>38</v>
      </c>
      <c r="X176" t="s">
        <v>66</v>
      </c>
      <c r="Y176" t="s">
        <v>163</v>
      </c>
      <c r="AD176" t="s">
        <v>487</v>
      </c>
    </row>
    <row r="177" spans="1:30" ht="15" customHeight="1" x14ac:dyDescent="0.25">
      <c r="A177">
        <v>43449</v>
      </c>
      <c r="B177" s="1">
        <v>45939</v>
      </c>
      <c r="C177" t="s">
        <v>156</v>
      </c>
      <c r="D177" t="s">
        <v>157</v>
      </c>
      <c r="E177" s="1">
        <v>45941</v>
      </c>
      <c r="F177" s="1">
        <v>45941</v>
      </c>
      <c r="G177" t="s">
        <v>762</v>
      </c>
      <c r="H177">
        <v>71713270</v>
      </c>
      <c r="I177" t="s">
        <v>763</v>
      </c>
      <c r="J177" t="str">
        <f>IF(
   COUNTIFS(
      $E$2:E177,TRIM(UPPER(E177)),
      $G$2:G177,TRIM(UPPER(G177)),
      $C$2:C177,TEXT(C177,"aaaa-mm-dd"),
      $I$2:I177,TEXT(I177,"0")
   )&gt;1,
   "Duplicado",
   "Único"
)</f>
        <v>Único</v>
      </c>
      <c r="K177">
        <v>3207258702</v>
      </c>
      <c r="L177" t="s">
        <v>764</v>
      </c>
      <c r="M177" s="1">
        <v>25602</v>
      </c>
      <c r="N177">
        <v>55</v>
      </c>
      <c r="O177">
        <v>1</v>
      </c>
      <c r="P177" t="s">
        <v>99</v>
      </c>
      <c r="Q177" t="s">
        <v>484</v>
      </c>
      <c r="R177" t="s">
        <v>133</v>
      </c>
      <c r="S177" t="s">
        <v>765</v>
      </c>
      <c r="T177" t="s">
        <v>766</v>
      </c>
      <c r="U177" s="2">
        <v>45939.011472916667</v>
      </c>
      <c r="V177" t="s">
        <v>79</v>
      </c>
      <c r="W177" t="s">
        <v>89</v>
      </c>
      <c r="AD177" t="s">
        <v>767</v>
      </c>
    </row>
    <row r="178" spans="1:30" ht="15" customHeight="1" x14ac:dyDescent="0.25">
      <c r="A178">
        <v>41330</v>
      </c>
      <c r="B178" s="1">
        <v>45931</v>
      </c>
      <c r="C178" t="s">
        <v>53</v>
      </c>
      <c r="D178" t="s">
        <v>54</v>
      </c>
      <c r="E178" s="1">
        <v>45934</v>
      </c>
      <c r="F178" s="1">
        <v>45934</v>
      </c>
      <c r="G178" t="s">
        <v>55</v>
      </c>
      <c r="H178">
        <v>33155150</v>
      </c>
      <c r="I178" t="s">
        <v>43</v>
      </c>
      <c r="J178" t="str">
        <f>IF(
   COUNTIFS(
      $E$2:E178,TRIM(UPPER(E178)),
      $G$2:G178,TRIM(UPPER(G178)),
      $C$2:C178,TEXT(C178,"aaaa-mm-dd"),
      $I$2:I178,TEXT(I178,"0")
   )&gt;1,
   "Duplicado",
   "Único"
)</f>
        <v>Único</v>
      </c>
      <c r="K178">
        <v>3007552345</v>
      </c>
      <c r="L178" t="s">
        <v>44</v>
      </c>
      <c r="M178" s="1">
        <v>21541</v>
      </c>
      <c r="N178">
        <v>66</v>
      </c>
      <c r="O178">
        <v>1</v>
      </c>
      <c r="P178" t="s">
        <v>45</v>
      </c>
      <c r="Q178" t="s">
        <v>46</v>
      </c>
      <c r="R178" t="s">
        <v>47</v>
      </c>
      <c r="S178" t="s">
        <v>48</v>
      </c>
      <c r="T178" t="s">
        <v>49</v>
      </c>
      <c r="U178" s="2">
        <v>45931.008785416663</v>
      </c>
      <c r="V178" t="s">
        <v>37</v>
      </c>
      <c r="W178" t="s">
        <v>38</v>
      </c>
      <c r="AD178" t="s">
        <v>56</v>
      </c>
    </row>
    <row r="179" spans="1:30" ht="15" customHeight="1" x14ac:dyDescent="0.25">
      <c r="A179">
        <v>46626</v>
      </c>
      <c r="B179" s="1">
        <v>45955</v>
      </c>
      <c r="C179" t="s">
        <v>29</v>
      </c>
      <c r="D179" t="s">
        <v>828</v>
      </c>
      <c r="E179" s="1">
        <v>45957</v>
      </c>
      <c r="F179" s="1">
        <v>45957</v>
      </c>
      <c r="G179" t="s">
        <v>42</v>
      </c>
      <c r="H179">
        <v>33155150</v>
      </c>
      <c r="I179" t="s">
        <v>829</v>
      </c>
      <c r="J179" t="str">
        <f>IF(
   COUNTIFS(
      $E$2:E179,TRIM(UPPER(E179)),
      $G$2:G179,TRIM(UPPER(G179)),
      $C$2:C179,TEXT(C179,"aaaa-mm-dd"),
      $I$2:I179,TEXT(I179,"0")
   )&gt;1,
   "Duplicado",
   "Único"
)</f>
        <v>Único</v>
      </c>
      <c r="K179">
        <v>3007552345</v>
      </c>
      <c r="L179" t="s">
        <v>44</v>
      </c>
      <c r="M179" s="1">
        <v>21541</v>
      </c>
      <c r="N179">
        <v>66</v>
      </c>
      <c r="O179">
        <v>1</v>
      </c>
      <c r="P179" t="s">
        <v>45</v>
      </c>
      <c r="Q179" t="s">
        <v>46</v>
      </c>
      <c r="R179" t="s">
        <v>47</v>
      </c>
      <c r="S179" t="s">
        <v>48</v>
      </c>
      <c r="T179" t="s">
        <v>49</v>
      </c>
      <c r="U179" s="2">
        <v>45955.010002546296</v>
      </c>
      <c r="V179" t="s">
        <v>37</v>
      </c>
      <c r="W179" t="s">
        <v>50</v>
      </c>
      <c r="X179" s="3" t="s">
        <v>51</v>
      </c>
      <c r="AD179" t="s">
        <v>52</v>
      </c>
    </row>
    <row r="180" spans="1:30" ht="15" customHeight="1" x14ac:dyDescent="0.25">
      <c r="A180">
        <v>40725</v>
      </c>
      <c r="B180" s="1">
        <v>45929</v>
      </c>
      <c r="C180" t="s">
        <v>57</v>
      </c>
      <c r="D180" t="s">
        <v>828</v>
      </c>
      <c r="E180" s="1">
        <v>45931</v>
      </c>
      <c r="F180" s="1">
        <v>45931</v>
      </c>
      <c r="G180" t="s">
        <v>57</v>
      </c>
      <c r="H180">
        <v>33155150</v>
      </c>
      <c r="I180" t="s">
        <v>829</v>
      </c>
      <c r="J180" t="str">
        <f>IF(
   COUNTIFS(
      $E$2:E180,TRIM(UPPER(E180)),
      $G$2:G180,TRIM(UPPER(G180)),
      $C$2:C180,TEXT(C180,"aaaa-mm-dd"),
      $I$2:I180,TEXT(I180,"0")
   )&gt;1,
   "Duplicado",
   "Único"
)</f>
        <v>Único</v>
      </c>
      <c r="K180">
        <v>3007552345</v>
      </c>
      <c r="L180" t="s">
        <v>44</v>
      </c>
      <c r="M180" s="1">
        <v>21541</v>
      </c>
      <c r="N180">
        <v>66</v>
      </c>
      <c r="O180">
        <v>1</v>
      </c>
      <c r="P180" t="s">
        <v>45</v>
      </c>
      <c r="Q180" t="s">
        <v>46</v>
      </c>
      <c r="R180" t="s">
        <v>47</v>
      </c>
      <c r="S180" t="s">
        <v>48</v>
      </c>
      <c r="T180" t="s">
        <v>49</v>
      </c>
      <c r="U180" s="2">
        <v>45929.007413194442</v>
      </c>
      <c r="V180" t="s">
        <v>37</v>
      </c>
      <c r="W180" t="s">
        <v>38</v>
      </c>
      <c r="X180" s="3" t="s">
        <v>51</v>
      </c>
      <c r="AD180" t="s">
        <v>58</v>
      </c>
    </row>
    <row r="181" spans="1:30" ht="15" customHeight="1" x14ac:dyDescent="0.25">
      <c r="A181">
        <v>45086</v>
      </c>
      <c r="B181" s="1">
        <v>45948</v>
      </c>
      <c r="C181" t="s">
        <v>53</v>
      </c>
      <c r="D181" t="s">
        <v>54</v>
      </c>
      <c r="E181" s="1">
        <v>45948</v>
      </c>
      <c r="F181" s="1">
        <v>45948</v>
      </c>
      <c r="G181" t="s">
        <v>91</v>
      </c>
      <c r="H181">
        <v>1126244604</v>
      </c>
      <c r="I181" t="s">
        <v>549</v>
      </c>
      <c r="J181" t="str">
        <f>IF(
   COUNTIFS(
      $E$2:E181,TRIM(UPPER(E181)),
      $G$2:G181,TRIM(UPPER(G181)),
      $C$2:C181,TEXT(C181,"aaaa-mm-dd"),
      $I$2:I181,TEXT(I181,"0")
   )&gt;1,
   "Duplicado",
   "Único"
)</f>
        <v>Único</v>
      </c>
      <c r="K181">
        <v>3218965772</v>
      </c>
      <c r="L181" t="s">
        <v>550</v>
      </c>
      <c r="M181" s="1">
        <v>31886</v>
      </c>
      <c r="N181">
        <v>38</v>
      </c>
      <c r="O181">
        <v>1</v>
      </c>
      <c r="P181" t="s">
        <v>45</v>
      </c>
      <c r="Q181" t="s">
        <v>551</v>
      </c>
      <c r="R181" t="s">
        <v>76</v>
      </c>
      <c r="S181" t="s">
        <v>552</v>
      </c>
      <c r="T181" t="s">
        <v>553</v>
      </c>
      <c r="U181" s="2">
        <v>45948.008566898148</v>
      </c>
      <c r="V181" t="s">
        <v>37</v>
      </c>
      <c r="W181" t="s">
        <v>38</v>
      </c>
      <c r="AD181" t="s">
        <v>554</v>
      </c>
    </row>
    <row r="182" spans="1:30" ht="15" customHeight="1" x14ac:dyDescent="0.25">
      <c r="A182">
        <v>44679</v>
      </c>
      <c r="B182" s="1">
        <v>45946</v>
      </c>
      <c r="C182" t="s">
        <v>57</v>
      </c>
      <c r="D182" t="s">
        <v>54</v>
      </c>
      <c r="E182" s="1">
        <v>45948</v>
      </c>
      <c r="F182" s="1">
        <v>45948</v>
      </c>
      <c r="G182" t="s">
        <v>57</v>
      </c>
      <c r="H182">
        <v>1126244604</v>
      </c>
      <c r="I182" t="s">
        <v>549</v>
      </c>
      <c r="J182" t="str">
        <f>IF(
   COUNTIFS(
      $E$2:E182,TRIM(UPPER(E182)),
      $G$2:G182,TRIM(UPPER(G182)),
      $C$2:C182,TEXT(C182,"aaaa-mm-dd"),
      $I$2:I182,TEXT(I182,"0")
   )&gt;1,
   "Duplicado",
   "Único"
)</f>
        <v>Único</v>
      </c>
      <c r="K182">
        <v>3218965772</v>
      </c>
      <c r="L182" t="s">
        <v>550</v>
      </c>
      <c r="M182" s="1">
        <v>31886</v>
      </c>
      <c r="N182">
        <v>38</v>
      </c>
      <c r="O182">
        <v>1</v>
      </c>
      <c r="P182" t="s">
        <v>45</v>
      </c>
      <c r="Q182" t="s">
        <v>551</v>
      </c>
      <c r="R182" t="s">
        <v>76</v>
      </c>
      <c r="S182" t="s">
        <v>552</v>
      </c>
      <c r="T182" t="s">
        <v>553</v>
      </c>
      <c r="U182" s="2">
        <v>45946.011197222222</v>
      </c>
      <c r="V182" t="s">
        <v>37</v>
      </c>
      <c r="W182" t="s">
        <v>38</v>
      </c>
      <c r="X182" t="s">
        <v>66</v>
      </c>
      <c r="Y182" t="s">
        <v>163</v>
      </c>
      <c r="AD182" t="s">
        <v>58</v>
      </c>
    </row>
    <row r="183" spans="1:30" ht="15" customHeight="1" x14ac:dyDescent="0.25">
      <c r="A183">
        <v>43147</v>
      </c>
      <c r="B183" s="1">
        <v>45938</v>
      </c>
      <c r="C183" t="s">
        <v>57</v>
      </c>
      <c r="D183" t="s">
        <v>54</v>
      </c>
      <c r="E183" s="1">
        <v>45938</v>
      </c>
      <c r="F183" s="1">
        <v>45938</v>
      </c>
      <c r="G183" t="s">
        <v>57</v>
      </c>
      <c r="H183">
        <v>7060500</v>
      </c>
      <c r="I183" t="s">
        <v>712</v>
      </c>
      <c r="J183" t="str">
        <f>IF(
   COUNTIFS(
      $E$2:E183,TRIM(UPPER(E183)),
      $G$2:G183,TRIM(UPPER(G183)),
      $C$2:C183,TEXT(C183,"aaaa-mm-dd"),
      $I$2:I183,TEXT(I183,"0")
   )&gt;1,
   "Duplicado",
   "Único"
)</f>
        <v>Único</v>
      </c>
      <c r="K183">
        <v>3103570624</v>
      </c>
      <c r="L183" t="s">
        <v>713</v>
      </c>
      <c r="P183" t="s">
        <v>61</v>
      </c>
      <c r="Q183" t="s">
        <v>551</v>
      </c>
      <c r="R183" t="s">
        <v>714</v>
      </c>
      <c r="S183" t="s">
        <v>186</v>
      </c>
      <c r="T183" t="s">
        <v>715</v>
      </c>
      <c r="U183" s="2">
        <v>45938.007871180555</v>
      </c>
      <c r="V183" t="s">
        <v>37</v>
      </c>
      <c r="W183" t="s">
        <v>38</v>
      </c>
      <c r="AD183" t="s">
        <v>716</v>
      </c>
    </row>
    <row r="184" spans="1:30" ht="15" customHeight="1" x14ac:dyDescent="0.25">
      <c r="A184">
        <v>45885</v>
      </c>
      <c r="B184" s="1">
        <v>45952</v>
      </c>
      <c r="C184" t="s">
        <v>57</v>
      </c>
      <c r="D184" t="s">
        <v>70</v>
      </c>
      <c r="E184" s="1">
        <v>45953</v>
      </c>
      <c r="F184" s="1">
        <v>45953</v>
      </c>
      <c r="G184" t="s">
        <v>57</v>
      </c>
      <c r="H184">
        <v>1045724183</v>
      </c>
      <c r="I184" t="s">
        <v>588</v>
      </c>
      <c r="J184" t="str">
        <f>IF(
   COUNTIFS(
      $E$2:E184,TRIM(UPPER(E184)),
      $G$2:G184,TRIM(UPPER(G184)),
      $C$2:C184,TEXT(C184,"aaaa-mm-dd"),
      $I$2:I184,TEXT(I184,"0")
   )&gt;1,
   "Duplicado",
   "Único"
)</f>
        <v>Único</v>
      </c>
      <c r="K184">
        <v>3135690547</v>
      </c>
      <c r="L184" t="s">
        <v>589</v>
      </c>
      <c r="M184" s="1">
        <v>34565</v>
      </c>
      <c r="N184">
        <v>31</v>
      </c>
      <c r="O184">
        <v>1</v>
      </c>
      <c r="P184" t="s">
        <v>183</v>
      </c>
      <c r="Q184" t="s">
        <v>590</v>
      </c>
      <c r="S184" t="s">
        <v>591</v>
      </c>
      <c r="T184" t="s">
        <v>592</v>
      </c>
      <c r="U184" s="2">
        <v>45952.01004710648</v>
      </c>
      <c r="V184" t="s">
        <v>37</v>
      </c>
      <c r="W184" t="s">
        <v>38</v>
      </c>
      <c r="X184" t="s">
        <v>66</v>
      </c>
      <c r="Y184" t="s">
        <v>67</v>
      </c>
      <c r="Z184" t="s">
        <v>68</v>
      </c>
      <c r="AA184" t="s">
        <v>68</v>
      </c>
      <c r="AB184" t="s">
        <v>68</v>
      </c>
      <c r="AC184" t="s">
        <v>68</v>
      </c>
      <c r="AD184" t="s">
        <v>58</v>
      </c>
    </row>
    <row r="185" spans="1:30" ht="15" customHeight="1" x14ac:dyDescent="0.25">
      <c r="A185">
        <v>44562</v>
      </c>
      <c r="B185" s="1">
        <v>45946</v>
      </c>
      <c r="C185" t="s">
        <v>57</v>
      </c>
      <c r="D185" t="s">
        <v>70</v>
      </c>
      <c r="E185" s="1">
        <v>45947</v>
      </c>
      <c r="F185" s="1">
        <v>45947</v>
      </c>
      <c r="G185" t="s">
        <v>57</v>
      </c>
      <c r="H185">
        <v>91490189</v>
      </c>
      <c r="I185" t="s">
        <v>564</v>
      </c>
      <c r="J185" t="str">
        <f>IF(
   COUNTIFS(
      $E$2:E185,TRIM(UPPER(E185)),
      $G$2:G185,TRIM(UPPER(G185)),
      $C$2:C185,TEXT(C185,"aaaa-mm-dd"),
      $I$2:I185,TEXT(I185,"0")
   )&gt;1,
   "Duplicado",
   "Único"
)</f>
        <v>Único</v>
      </c>
      <c r="K185">
        <v>3165279281</v>
      </c>
      <c r="L185" t="s">
        <v>565</v>
      </c>
      <c r="M185" s="1">
        <v>27976</v>
      </c>
      <c r="N185">
        <v>49</v>
      </c>
      <c r="O185">
        <v>1</v>
      </c>
      <c r="P185" t="s">
        <v>61</v>
      </c>
      <c r="Q185" t="s">
        <v>566</v>
      </c>
      <c r="S185" t="s">
        <v>567</v>
      </c>
      <c r="T185" t="s">
        <v>468</v>
      </c>
      <c r="U185" s="2">
        <v>45946.007282523147</v>
      </c>
      <c r="V185" t="s">
        <v>37</v>
      </c>
      <c r="W185" t="s">
        <v>38</v>
      </c>
      <c r="X185" s="3" t="s">
        <v>171</v>
      </c>
      <c r="Y185" t="s">
        <v>67</v>
      </c>
      <c r="Z185" t="s">
        <v>67</v>
      </c>
      <c r="AA185" t="s">
        <v>68</v>
      </c>
      <c r="AB185" t="s">
        <v>68</v>
      </c>
      <c r="AC185" t="s">
        <v>68</v>
      </c>
      <c r="AD185" t="s">
        <v>568</v>
      </c>
    </row>
    <row r="186" spans="1:30" ht="15" customHeight="1" x14ac:dyDescent="0.25">
      <c r="A186">
        <v>47162</v>
      </c>
      <c r="B186" s="1">
        <v>45959</v>
      </c>
      <c r="C186" t="s">
        <v>53</v>
      </c>
      <c r="D186" t="s">
        <v>81</v>
      </c>
      <c r="E186" s="1">
        <v>45960</v>
      </c>
      <c r="F186" s="1">
        <v>45960</v>
      </c>
      <c r="G186" t="s">
        <v>82</v>
      </c>
      <c r="H186">
        <v>19386942</v>
      </c>
      <c r="I186" t="s">
        <v>252</v>
      </c>
      <c r="J186" t="str">
        <f>IF(
   COUNTIFS(
      $E$2:E186,TRIM(UPPER(E186)),
      $G$2:G186,TRIM(UPPER(G186)),
      $C$2:C186,TEXT(C186,"aaaa-mm-dd"),
      $I$2:I186,TEXT(I186,"0")
   )&gt;1,
   "Duplicado",
   "Único"
)</f>
        <v>Único</v>
      </c>
      <c r="K186">
        <v>3116790480</v>
      </c>
      <c r="L186" t="s">
        <v>253</v>
      </c>
      <c r="M186" s="1">
        <v>21976</v>
      </c>
      <c r="N186">
        <v>65</v>
      </c>
      <c r="O186">
        <v>1</v>
      </c>
      <c r="P186" t="s">
        <v>61</v>
      </c>
      <c r="Q186" t="s">
        <v>85</v>
      </c>
      <c r="S186" t="s">
        <v>254</v>
      </c>
      <c r="T186" t="s">
        <v>255</v>
      </c>
      <c r="U186" s="2">
        <v>45959.004297685184</v>
      </c>
      <c r="V186" t="s">
        <v>79</v>
      </c>
      <c r="W186" t="s">
        <v>89</v>
      </c>
      <c r="AD186" t="s">
        <v>256</v>
      </c>
    </row>
    <row r="187" spans="1:30" ht="15" customHeight="1" x14ac:dyDescent="0.25">
      <c r="A187">
        <v>47161</v>
      </c>
      <c r="B187" s="1">
        <v>45959</v>
      </c>
      <c r="C187" t="s">
        <v>53</v>
      </c>
      <c r="D187" t="s">
        <v>828</v>
      </c>
      <c r="E187" s="1">
        <v>45960</v>
      </c>
      <c r="F187" s="1">
        <v>45960</v>
      </c>
      <c r="G187" t="s">
        <v>145</v>
      </c>
      <c r="H187">
        <v>19386942</v>
      </c>
      <c r="I187" t="s">
        <v>252</v>
      </c>
      <c r="J187" t="str">
        <f>IF(
   COUNTIFS(
      $E$2:E187,TRIM(UPPER(E187)),
      $G$2:G187,TRIM(UPPER(G187)),
      $C$2:C187,TEXT(C187,"aaaa-mm-dd"),
      $I$2:I187,TEXT(I187,"0")
   )&gt;1,
   "Duplicado",
   "Único"
)</f>
        <v>Único</v>
      </c>
      <c r="K187">
        <v>3116790480</v>
      </c>
      <c r="L187" t="s">
        <v>253</v>
      </c>
      <c r="M187" s="1">
        <v>21976</v>
      </c>
      <c r="N187">
        <v>65</v>
      </c>
      <c r="O187">
        <v>1</v>
      </c>
      <c r="P187" t="s">
        <v>61</v>
      </c>
      <c r="Q187" t="s">
        <v>85</v>
      </c>
      <c r="S187" t="s">
        <v>254</v>
      </c>
      <c r="T187" t="s">
        <v>255</v>
      </c>
      <c r="U187" s="2">
        <v>45959.004294444443</v>
      </c>
      <c r="V187" t="s">
        <v>79</v>
      </c>
      <c r="W187" t="s">
        <v>38</v>
      </c>
      <c r="AD187" t="s">
        <v>257</v>
      </c>
    </row>
    <row r="188" spans="1:30" ht="15" customHeight="1" x14ac:dyDescent="0.25">
      <c r="A188">
        <v>45483</v>
      </c>
      <c r="B188" s="1">
        <v>45951</v>
      </c>
      <c r="C188" t="s">
        <v>53</v>
      </c>
      <c r="D188" t="s">
        <v>70</v>
      </c>
      <c r="E188" s="1">
        <v>45953</v>
      </c>
      <c r="F188" s="1">
        <v>45953</v>
      </c>
      <c r="G188" t="s">
        <v>91</v>
      </c>
      <c r="H188">
        <v>19386942</v>
      </c>
      <c r="I188" t="s">
        <v>252</v>
      </c>
      <c r="J188" t="str">
        <f>IF(
   COUNTIFS(
      $E$2:E188,TRIM(UPPER(E188)),
      $G$2:G188,TRIM(UPPER(G188)),
      $C$2:C188,TEXT(C188,"aaaa-mm-dd"),
      $I$2:I188,TEXT(I188,"0")
   )&gt;1,
   "Duplicado",
   "Único"
)</f>
        <v>Único</v>
      </c>
      <c r="K188">
        <v>3116790480</v>
      </c>
      <c r="L188" t="s">
        <v>253</v>
      </c>
      <c r="M188" s="1">
        <v>21976</v>
      </c>
      <c r="N188">
        <v>65</v>
      </c>
      <c r="O188">
        <v>1</v>
      </c>
      <c r="P188" t="s">
        <v>61</v>
      </c>
      <c r="Q188" t="s">
        <v>85</v>
      </c>
      <c r="S188" t="s">
        <v>254</v>
      </c>
      <c r="T188" t="s">
        <v>255</v>
      </c>
      <c r="U188" s="2">
        <v>45951.005510763891</v>
      </c>
      <c r="V188" t="s">
        <v>79</v>
      </c>
      <c r="W188" t="s">
        <v>38</v>
      </c>
      <c r="AD188" t="s">
        <v>258</v>
      </c>
    </row>
    <row r="189" spans="1:30" ht="15" customHeight="1" x14ac:dyDescent="0.25">
      <c r="A189">
        <v>43125</v>
      </c>
      <c r="B189" s="1">
        <v>45938</v>
      </c>
      <c r="C189" t="s">
        <v>53</v>
      </c>
      <c r="D189" t="s">
        <v>81</v>
      </c>
      <c r="E189" s="1">
        <v>45945</v>
      </c>
      <c r="F189" s="1">
        <v>45945</v>
      </c>
      <c r="G189" t="s">
        <v>82</v>
      </c>
      <c r="H189">
        <v>19386942</v>
      </c>
      <c r="I189" t="s">
        <v>252</v>
      </c>
      <c r="J189" t="str">
        <f>IF(
   COUNTIFS(
      $E$2:E189,TRIM(UPPER(E189)),
      $G$2:G189,TRIM(UPPER(G189)),
      $C$2:C189,TEXT(C189,"aaaa-mm-dd"),
      $I$2:I189,TEXT(I189,"0")
   )&gt;1,
   "Duplicado",
   "Único"
)</f>
        <v>Único</v>
      </c>
      <c r="K189">
        <v>3116790480</v>
      </c>
      <c r="L189" t="s">
        <v>253</v>
      </c>
      <c r="M189" s="1">
        <v>21976</v>
      </c>
      <c r="N189">
        <v>65</v>
      </c>
      <c r="O189">
        <v>1</v>
      </c>
      <c r="P189" t="s">
        <v>61</v>
      </c>
      <c r="Q189" t="s">
        <v>85</v>
      </c>
      <c r="S189" t="s">
        <v>254</v>
      </c>
      <c r="T189" t="s">
        <v>255</v>
      </c>
      <c r="U189" s="2">
        <v>45938.007130902777</v>
      </c>
      <c r="V189" t="s">
        <v>79</v>
      </c>
      <c r="W189" t="s">
        <v>116</v>
      </c>
      <c r="AD189" t="s">
        <v>259</v>
      </c>
    </row>
    <row r="190" spans="1:30" ht="15" customHeight="1" x14ac:dyDescent="0.25">
      <c r="A190">
        <v>43124</v>
      </c>
      <c r="B190" s="1">
        <v>45938</v>
      </c>
      <c r="C190" t="s">
        <v>53</v>
      </c>
      <c r="D190" t="s">
        <v>828</v>
      </c>
      <c r="E190" s="1">
        <v>45945</v>
      </c>
      <c r="F190" s="1">
        <v>45945</v>
      </c>
      <c r="G190" t="s">
        <v>145</v>
      </c>
      <c r="H190">
        <v>19386942</v>
      </c>
      <c r="I190" t="s">
        <v>252</v>
      </c>
      <c r="J190" t="str">
        <f>IF(
   COUNTIFS(
      $E$2:E190,TRIM(UPPER(E190)),
      $G$2:G190,TRIM(UPPER(G190)),
      $C$2:C190,TEXT(C190,"aaaa-mm-dd"),
      $I$2:I190,TEXT(I190,"0")
   )&gt;1,
   "Duplicado",
   "Único"
)</f>
        <v>Único</v>
      </c>
      <c r="K190">
        <v>3116790480</v>
      </c>
      <c r="L190" t="s">
        <v>253</v>
      </c>
      <c r="M190" s="1">
        <v>21976</v>
      </c>
      <c r="N190">
        <v>65</v>
      </c>
      <c r="O190">
        <v>1</v>
      </c>
      <c r="P190" t="s">
        <v>61</v>
      </c>
      <c r="Q190" t="s">
        <v>85</v>
      </c>
      <c r="S190" t="s">
        <v>254</v>
      </c>
      <c r="T190" t="s">
        <v>255</v>
      </c>
      <c r="U190" s="2">
        <v>45938.007113310188</v>
      </c>
      <c r="V190" t="s">
        <v>79</v>
      </c>
      <c r="W190" t="s">
        <v>38</v>
      </c>
      <c r="AD190" t="s">
        <v>260</v>
      </c>
    </row>
    <row r="191" spans="1:30" ht="15" customHeight="1" x14ac:dyDescent="0.25">
      <c r="A191">
        <v>41261</v>
      </c>
      <c r="B191" s="1">
        <v>45931</v>
      </c>
      <c r="C191" t="s">
        <v>53</v>
      </c>
      <c r="D191" t="s">
        <v>828</v>
      </c>
      <c r="E191" s="1">
        <v>45938</v>
      </c>
      <c r="F191" s="1">
        <v>45938</v>
      </c>
      <c r="G191" t="s">
        <v>91</v>
      </c>
      <c r="H191">
        <v>19386942</v>
      </c>
      <c r="I191" t="s">
        <v>252</v>
      </c>
      <c r="J191" t="str">
        <f>IF(
   COUNTIFS(
      $E$2:E191,TRIM(UPPER(E191)),
      $G$2:G191,TRIM(UPPER(G191)),
      $C$2:C191,TEXT(C191,"aaaa-mm-dd"),
      $I$2:I191,TEXT(I191,"0")
   )&gt;1,
   "Duplicado",
   "Único"
)</f>
        <v>Único</v>
      </c>
      <c r="K191">
        <v>3116790480</v>
      </c>
      <c r="L191" t="s">
        <v>253</v>
      </c>
      <c r="M191" s="1">
        <v>21976</v>
      </c>
      <c r="N191">
        <v>65</v>
      </c>
      <c r="O191">
        <v>1</v>
      </c>
      <c r="P191" t="s">
        <v>61</v>
      </c>
      <c r="Q191" t="s">
        <v>85</v>
      </c>
      <c r="S191" t="s">
        <v>254</v>
      </c>
      <c r="T191" t="s">
        <v>255</v>
      </c>
      <c r="U191" s="2">
        <v>45931.006749305554</v>
      </c>
      <c r="V191" t="s">
        <v>79</v>
      </c>
      <c r="W191" t="s">
        <v>38</v>
      </c>
      <c r="AD191" t="s">
        <v>261</v>
      </c>
    </row>
    <row r="192" spans="1:30" ht="15" customHeight="1" x14ac:dyDescent="0.25">
      <c r="A192">
        <v>40113</v>
      </c>
      <c r="B192" s="1">
        <v>45924</v>
      </c>
      <c r="C192" t="s">
        <v>53</v>
      </c>
      <c r="D192" t="s">
        <v>828</v>
      </c>
      <c r="E192" s="1">
        <v>45931</v>
      </c>
      <c r="F192" s="1">
        <v>45931</v>
      </c>
      <c r="G192" t="s">
        <v>91</v>
      </c>
      <c r="H192">
        <v>19386942</v>
      </c>
      <c r="I192" t="s">
        <v>252</v>
      </c>
      <c r="J192" t="str">
        <f>IF(
   COUNTIFS(
      $E$2:E192,TRIM(UPPER(E192)),
      $G$2:G192,TRIM(UPPER(G192)),
      $C$2:C192,TEXT(C192,"aaaa-mm-dd"),
      $I$2:I192,TEXT(I192,"0")
   )&gt;1,
   "Duplicado",
   "Único"
)</f>
        <v>Único</v>
      </c>
      <c r="K192">
        <v>3116790480</v>
      </c>
      <c r="L192" t="s">
        <v>253</v>
      </c>
      <c r="M192" s="1">
        <v>21976</v>
      </c>
      <c r="N192">
        <v>65</v>
      </c>
      <c r="O192">
        <v>1</v>
      </c>
      <c r="P192" t="s">
        <v>61</v>
      </c>
      <c r="Q192" t="s">
        <v>85</v>
      </c>
      <c r="S192" t="s">
        <v>254</v>
      </c>
      <c r="T192" t="s">
        <v>255</v>
      </c>
      <c r="U192" s="2">
        <v>45924.008298842593</v>
      </c>
      <c r="V192" t="s">
        <v>79</v>
      </c>
      <c r="W192" t="s">
        <v>38</v>
      </c>
      <c r="AD192" t="s">
        <v>262</v>
      </c>
    </row>
    <row r="193" spans="1:30" ht="15" customHeight="1" x14ac:dyDescent="0.25">
      <c r="A193">
        <v>47162</v>
      </c>
      <c r="B193" s="1">
        <v>45959</v>
      </c>
      <c r="C193" t="s">
        <v>53</v>
      </c>
      <c r="D193" t="s">
        <v>81</v>
      </c>
      <c r="E193" s="1">
        <v>45960</v>
      </c>
      <c r="F193" s="1">
        <v>45960</v>
      </c>
      <c r="G193" t="s">
        <v>82</v>
      </c>
      <c r="H193">
        <v>19386942</v>
      </c>
      <c r="I193" t="s">
        <v>252</v>
      </c>
      <c r="J193" t="str">
        <f>IF(
   COUNTIFS(
      $E$2:E193,TRIM(UPPER(E193)),
      $G$2:G193,TRIM(UPPER(G193)),
      $C$2:C193,TEXT(C193,"aaaa-mm-dd"),
      $I$2:I193,TEXT(I193,"0")
   )&gt;1,
   "Duplicado",
   "Único"
)</f>
        <v>Único</v>
      </c>
      <c r="K193">
        <v>3116790480</v>
      </c>
      <c r="L193" t="s">
        <v>253</v>
      </c>
      <c r="M193" s="1">
        <v>21976</v>
      </c>
      <c r="N193">
        <v>65</v>
      </c>
      <c r="O193">
        <v>1</v>
      </c>
      <c r="P193" t="s">
        <v>61</v>
      </c>
      <c r="Q193" t="s">
        <v>85</v>
      </c>
      <c r="S193" t="s">
        <v>254</v>
      </c>
      <c r="T193" t="s">
        <v>255</v>
      </c>
      <c r="U193" s="2">
        <v>45959.004297685184</v>
      </c>
      <c r="V193" t="s">
        <v>79</v>
      </c>
      <c r="W193" t="s">
        <v>89</v>
      </c>
      <c r="AD193" t="s">
        <v>256</v>
      </c>
    </row>
    <row r="194" spans="1:30" ht="15" customHeight="1" x14ac:dyDescent="0.25">
      <c r="A194">
        <v>43125</v>
      </c>
      <c r="B194" s="1">
        <v>45938</v>
      </c>
      <c r="C194" t="s">
        <v>53</v>
      </c>
      <c r="D194" t="s">
        <v>81</v>
      </c>
      <c r="E194" s="1">
        <v>45945</v>
      </c>
      <c r="F194" s="1">
        <v>45945</v>
      </c>
      <c r="G194" t="s">
        <v>82</v>
      </c>
      <c r="H194">
        <v>19386942</v>
      </c>
      <c r="I194" t="s">
        <v>252</v>
      </c>
      <c r="J194" t="str">
        <f>IF(
   COUNTIFS(
      $E$2:E194,TRIM(UPPER(E194)),
      $G$2:G194,TRIM(UPPER(G194)),
      $C$2:C194,TEXT(C194,"aaaa-mm-dd"),
      $I$2:I194,TEXT(I194,"0")
   )&gt;1,
   "Duplicado",
   "Único"
)</f>
        <v>Único</v>
      </c>
      <c r="K194">
        <v>3116790480</v>
      </c>
      <c r="L194" t="s">
        <v>253</v>
      </c>
      <c r="M194" s="1">
        <v>21976</v>
      </c>
      <c r="N194">
        <v>65</v>
      </c>
      <c r="O194">
        <v>1</v>
      </c>
      <c r="P194" t="s">
        <v>61</v>
      </c>
      <c r="Q194" t="s">
        <v>85</v>
      </c>
      <c r="S194" t="s">
        <v>254</v>
      </c>
      <c r="T194" t="s">
        <v>255</v>
      </c>
      <c r="U194" s="2">
        <v>45938.007130902777</v>
      </c>
      <c r="V194" t="s">
        <v>79</v>
      </c>
      <c r="W194" t="s">
        <v>116</v>
      </c>
      <c r="AD194" t="s">
        <v>259</v>
      </c>
    </row>
    <row r="195" spans="1:30" ht="15" customHeight="1" x14ac:dyDescent="0.25">
      <c r="A195">
        <v>46498</v>
      </c>
      <c r="B195" s="1">
        <v>45955</v>
      </c>
      <c r="C195" t="s">
        <v>53</v>
      </c>
      <c r="D195" t="s">
        <v>81</v>
      </c>
      <c r="E195" s="1">
        <v>45955</v>
      </c>
      <c r="F195" s="1">
        <v>45955</v>
      </c>
      <c r="G195" t="s">
        <v>82</v>
      </c>
      <c r="H195">
        <v>1007026482</v>
      </c>
      <c r="I195" t="s">
        <v>83</v>
      </c>
      <c r="J195" t="str">
        <f>IF(
   COUNTIFS(
      $E$2:E195,TRIM(UPPER(E195)),
      $G$2:G195,TRIM(UPPER(G195)),
      $C$2:C195,TEXT(C195,"aaaa-mm-dd"),
      $I$2:I195,TEXT(I195,"0")
   )&gt;1,
   "Duplicado",
   "Único"
)</f>
        <v>Único</v>
      </c>
      <c r="K195">
        <v>3006276586</v>
      </c>
      <c r="L195" t="s">
        <v>84</v>
      </c>
      <c r="M195" s="1">
        <v>37492</v>
      </c>
      <c r="N195">
        <v>23</v>
      </c>
      <c r="O195">
        <v>1</v>
      </c>
      <c r="P195" t="s">
        <v>61</v>
      </c>
      <c r="Q195" t="s">
        <v>85</v>
      </c>
      <c r="R195" t="s">
        <v>86</v>
      </c>
      <c r="S195" t="s">
        <v>87</v>
      </c>
      <c r="T195" t="s">
        <v>88</v>
      </c>
      <c r="U195" s="2">
        <v>45955.006344328707</v>
      </c>
      <c r="V195" t="s">
        <v>37</v>
      </c>
      <c r="W195" t="s">
        <v>89</v>
      </c>
      <c r="AD195" t="s">
        <v>90</v>
      </c>
    </row>
    <row r="196" spans="1:30" ht="15" customHeight="1" x14ac:dyDescent="0.25">
      <c r="A196">
        <v>46385</v>
      </c>
      <c r="B196" s="1">
        <v>45954</v>
      </c>
      <c r="C196" t="s">
        <v>53</v>
      </c>
      <c r="D196" t="s">
        <v>70</v>
      </c>
      <c r="E196" s="1">
        <v>45955</v>
      </c>
      <c r="F196" s="1">
        <v>45955</v>
      </c>
      <c r="G196" t="s">
        <v>91</v>
      </c>
      <c r="H196">
        <v>1007026482</v>
      </c>
      <c r="I196" t="s">
        <v>83</v>
      </c>
      <c r="J196" t="str">
        <f>IF(
   COUNTIFS(
      $E$2:E196,TRIM(UPPER(E196)),
      $G$2:G196,TRIM(UPPER(G196)),
      $C$2:C196,TEXT(C196,"aaaa-mm-dd"),
      $I$2:I196,TEXT(I196,"0")
   )&gt;1,
   "Duplicado",
   "Único"
)</f>
        <v>Único</v>
      </c>
      <c r="K196">
        <v>3006276586</v>
      </c>
      <c r="L196" t="s">
        <v>84</v>
      </c>
      <c r="M196" s="1">
        <v>37492</v>
      </c>
      <c r="N196">
        <v>23</v>
      </c>
      <c r="O196">
        <v>1</v>
      </c>
      <c r="P196" t="s">
        <v>61</v>
      </c>
      <c r="Q196" t="s">
        <v>85</v>
      </c>
      <c r="R196" t="s">
        <v>86</v>
      </c>
      <c r="S196" t="s">
        <v>87</v>
      </c>
      <c r="T196" t="s">
        <v>88</v>
      </c>
      <c r="U196" s="2">
        <v>45954.010076157407</v>
      </c>
      <c r="V196" t="s">
        <v>37</v>
      </c>
      <c r="W196" t="s">
        <v>38</v>
      </c>
      <c r="AD196" t="s">
        <v>92</v>
      </c>
    </row>
    <row r="197" spans="1:30" ht="15" customHeight="1" x14ac:dyDescent="0.25">
      <c r="A197">
        <v>44721</v>
      </c>
      <c r="B197" s="1">
        <v>45947</v>
      </c>
      <c r="C197" t="s">
        <v>53</v>
      </c>
      <c r="D197" t="s">
        <v>54</v>
      </c>
      <c r="E197" s="1">
        <v>45948</v>
      </c>
      <c r="F197" s="1">
        <v>45948</v>
      </c>
      <c r="G197" t="s">
        <v>91</v>
      </c>
      <c r="H197">
        <v>1007026482</v>
      </c>
      <c r="I197" t="s">
        <v>83</v>
      </c>
      <c r="J197" t="str">
        <f>IF(
   COUNTIFS(
      $E$2:E197,TRIM(UPPER(E197)),
      $G$2:G197,TRIM(UPPER(G197)),
      $C$2:C197,TEXT(C197,"aaaa-mm-dd"),
      $I$2:I197,TEXT(I197,"0")
   )&gt;1,
   "Duplicado",
   "Único"
)</f>
        <v>Único</v>
      </c>
      <c r="K197">
        <v>3006276586</v>
      </c>
      <c r="L197" t="s">
        <v>84</v>
      </c>
      <c r="M197" s="1">
        <v>37492</v>
      </c>
      <c r="N197">
        <v>23</v>
      </c>
      <c r="O197">
        <v>1</v>
      </c>
      <c r="P197" t="s">
        <v>61</v>
      </c>
      <c r="Q197" t="s">
        <v>85</v>
      </c>
      <c r="R197" t="s">
        <v>86</v>
      </c>
      <c r="S197" t="s">
        <v>87</v>
      </c>
      <c r="T197" t="s">
        <v>88</v>
      </c>
      <c r="U197" s="2">
        <v>45947.005500578707</v>
      </c>
      <c r="V197" t="s">
        <v>37</v>
      </c>
      <c r="W197" t="s">
        <v>50</v>
      </c>
      <c r="AD197" t="s">
        <v>92</v>
      </c>
    </row>
    <row r="198" spans="1:30" ht="15" customHeight="1" x14ac:dyDescent="0.25">
      <c r="A198">
        <v>44720</v>
      </c>
      <c r="B198" s="1">
        <v>45947</v>
      </c>
      <c r="C198" t="s">
        <v>53</v>
      </c>
      <c r="D198" t="s">
        <v>81</v>
      </c>
      <c r="E198" s="1">
        <v>45948</v>
      </c>
      <c r="F198" s="1">
        <v>45948</v>
      </c>
      <c r="G198" t="s">
        <v>82</v>
      </c>
      <c r="H198">
        <v>1007026482</v>
      </c>
      <c r="I198" t="s">
        <v>83</v>
      </c>
      <c r="J198" t="str">
        <f>IF(
   COUNTIFS(
      $E$2:E198,TRIM(UPPER(E198)),
      $G$2:G198,TRIM(UPPER(G198)),
      $C$2:C198,TEXT(C198,"aaaa-mm-dd"),
      $I$2:I198,TEXT(I198,"0")
   )&gt;1,
   "Duplicado",
   "Único"
)</f>
        <v>Único</v>
      </c>
      <c r="K198">
        <v>3006276586</v>
      </c>
      <c r="L198" t="s">
        <v>84</v>
      </c>
      <c r="M198" s="1">
        <v>37492</v>
      </c>
      <c r="N198">
        <v>23</v>
      </c>
      <c r="O198">
        <v>1</v>
      </c>
      <c r="P198" t="s">
        <v>61</v>
      </c>
      <c r="Q198" t="s">
        <v>85</v>
      </c>
      <c r="R198" t="s">
        <v>86</v>
      </c>
      <c r="S198" t="s">
        <v>87</v>
      </c>
      <c r="T198" t="s">
        <v>88</v>
      </c>
      <c r="U198" s="2">
        <v>45947.005492013886</v>
      </c>
      <c r="V198" t="s">
        <v>37</v>
      </c>
      <c r="W198" t="s">
        <v>50</v>
      </c>
      <c r="AD198" t="s">
        <v>93</v>
      </c>
    </row>
    <row r="199" spans="1:30" ht="15" customHeight="1" x14ac:dyDescent="0.25">
      <c r="A199">
        <v>40608</v>
      </c>
      <c r="B199" s="1">
        <v>45927</v>
      </c>
      <c r="C199" t="s">
        <v>53</v>
      </c>
      <c r="D199" t="s">
        <v>81</v>
      </c>
      <c r="E199" s="1">
        <v>45941</v>
      </c>
      <c r="F199" s="1">
        <v>45941</v>
      </c>
      <c r="G199" t="s">
        <v>82</v>
      </c>
      <c r="H199">
        <v>1007026482</v>
      </c>
      <c r="I199" t="s">
        <v>83</v>
      </c>
      <c r="J199" t="str">
        <f>IF(
   COUNTIFS(
      $E$2:E199,TRIM(UPPER(E199)),
      $G$2:G199,TRIM(UPPER(G199)),
      $C$2:C199,TEXT(C199,"aaaa-mm-dd"),
      $I$2:I199,TEXT(I199,"0")
   )&gt;1,
   "Duplicado",
   "Único"
)</f>
        <v>Único</v>
      </c>
      <c r="K199">
        <v>3006276586</v>
      </c>
      <c r="L199" t="s">
        <v>84</v>
      </c>
      <c r="M199" s="1">
        <v>37492</v>
      </c>
      <c r="N199">
        <v>23</v>
      </c>
      <c r="O199">
        <v>1</v>
      </c>
      <c r="P199" t="s">
        <v>61</v>
      </c>
      <c r="Q199" t="s">
        <v>85</v>
      </c>
      <c r="R199" t="s">
        <v>86</v>
      </c>
      <c r="S199" t="s">
        <v>87</v>
      </c>
      <c r="T199" t="s">
        <v>88</v>
      </c>
      <c r="U199" s="2">
        <v>45927.009045601852</v>
      </c>
      <c r="V199" t="s">
        <v>37</v>
      </c>
      <c r="W199" t="s">
        <v>94</v>
      </c>
      <c r="AD199" t="s">
        <v>95</v>
      </c>
    </row>
    <row r="200" spans="1:30" ht="15" customHeight="1" x14ac:dyDescent="0.25">
      <c r="A200">
        <v>40607</v>
      </c>
      <c r="B200" s="1">
        <v>45927</v>
      </c>
      <c r="C200" t="s">
        <v>53</v>
      </c>
      <c r="D200" t="s">
        <v>70</v>
      </c>
      <c r="E200" s="1">
        <v>45941</v>
      </c>
      <c r="F200" s="1">
        <v>45941</v>
      </c>
      <c r="G200" t="s">
        <v>91</v>
      </c>
      <c r="H200">
        <v>1007026482</v>
      </c>
      <c r="I200" t="s">
        <v>83</v>
      </c>
      <c r="J200" t="str">
        <f>IF(
   COUNTIFS(
      $E$2:E200,TRIM(UPPER(E200)),
      $G$2:G200,TRIM(UPPER(G200)),
      $C$2:C200,TEXT(C200,"aaaa-mm-dd"),
      $I$2:I200,TEXT(I200,"0")
   )&gt;1,
   "Duplicado",
   "Único"
)</f>
        <v>Único</v>
      </c>
      <c r="K200">
        <v>3006276586</v>
      </c>
      <c r="L200" t="s">
        <v>84</v>
      </c>
      <c r="M200" s="1">
        <v>37492</v>
      </c>
      <c r="N200">
        <v>23</v>
      </c>
      <c r="O200">
        <v>1</v>
      </c>
      <c r="P200" t="s">
        <v>61</v>
      </c>
      <c r="Q200" t="s">
        <v>85</v>
      </c>
      <c r="R200" t="s">
        <v>86</v>
      </c>
      <c r="S200" t="s">
        <v>87</v>
      </c>
      <c r="T200" t="s">
        <v>88</v>
      </c>
      <c r="U200" s="2">
        <v>45927.009042824073</v>
      </c>
      <c r="V200" t="s">
        <v>37</v>
      </c>
      <c r="W200" t="s">
        <v>94</v>
      </c>
      <c r="AD200" t="s">
        <v>96</v>
      </c>
    </row>
    <row r="201" spans="1:30" ht="15" customHeight="1" x14ac:dyDescent="0.25">
      <c r="A201">
        <v>46498</v>
      </c>
      <c r="B201" s="1">
        <v>45955</v>
      </c>
      <c r="C201" t="s">
        <v>53</v>
      </c>
      <c r="D201" t="s">
        <v>81</v>
      </c>
      <c r="E201" s="1">
        <v>45955</v>
      </c>
      <c r="F201" s="1">
        <v>45955</v>
      </c>
      <c r="G201" t="s">
        <v>82</v>
      </c>
      <c r="H201">
        <v>1007026482</v>
      </c>
      <c r="I201" t="s">
        <v>83</v>
      </c>
      <c r="J201" t="str">
        <f>IF(
   COUNTIFS(
      $E$2:E201,TRIM(UPPER(E201)),
      $G$2:G201,TRIM(UPPER(G201)),
      $C$2:C201,TEXT(C201,"aaaa-mm-dd"),
      $I$2:I201,TEXT(I201,"0")
   )&gt;1,
   "Duplicado",
   "Único"
)</f>
        <v>Único</v>
      </c>
      <c r="K201">
        <v>3006276586</v>
      </c>
      <c r="L201" t="s">
        <v>84</v>
      </c>
      <c r="M201" s="1">
        <v>37492</v>
      </c>
      <c r="N201">
        <v>23</v>
      </c>
      <c r="O201">
        <v>1</v>
      </c>
      <c r="P201" t="s">
        <v>61</v>
      </c>
      <c r="Q201" t="s">
        <v>85</v>
      </c>
      <c r="R201" t="s">
        <v>86</v>
      </c>
      <c r="S201" t="s">
        <v>87</v>
      </c>
      <c r="T201" t="s">
        <v>88</v>
      </c>
      <c r="U201" s="2">
        <v>45955.006344328707</v>
      </c>
      <c r="V201" t="s">
        <v>37</v>
      </c>
      <c r="W201" t="s">
        <v>89</v>
      </c>
      <c r="AD201" t="s">
        <v>90</v>
      </c>
    </row>
    <row r="202" spans="1:30" ht="15" customHeight="1" x14ac:dyDescent="0.25">
      <c r="A202">
        <v>44720</v>
      </c>
      <c r="B202" s="1">
        <v>45947</v>
      </c>
      <c r="C202" t="s">
        <v>53</v>
      </c>
      <c r="D202" t="s">
        <v>81</v>
      </c>
      <c r="E202" s="1">
        <v>45948</v>
      </c>
      <c r="F202" s="1">
        <v>45948</v>
      </c>
      <c r="G202" t="s">
        <v>82</v>
      </c>
      <c r="H202">
        <v>1007026482</v>
      </c>
      <c r="I202" t="s">
        <v>83</v>
      </c>
      <c r="J202" t="str">
        <f>IF(
   COUNTIFS(
      $E$2:E202,TRIM(UPPER(E202)),
      $G$2:G202,TRIM(UPPER(G202)),
      $C$2:C202,TEXT(C202,"aaaa-mm-dd"),
      $I$2:I202,TEXT(I202,"0")
   )&gt;1,
   "Duplicado",
   "Único"
)</f>
        <v>Único</v>
      </c>
      <c r="K202">
        <v>3006276586</v>
      </c>
      <c r="L202" t="s">
        <v>84</v>
      </c>
      <c r="M202" s="1">
        <v>37492</v>
      </c>
      <c r="N202">
        <v>23</v>
      </c>
      <c r="O202">
        <v>1</v>
      </c>
      <c r="P202" t="s">
        <v>61</v>
      </c>
      <c r="Q202" t="s">
        <v>85</v>
      </c>
      <c r="R202" t="s">
        <v>86</v>
      </c>
      <c r="S202" t="s">
        <v>87</v>
      </c>
      <c r="T202" t="s">
        <v>88</v>
      </c>
      <c r="U202" s="2">
        <v>45947.005492013886</v>
      </c>
      <c r="V202" t="s">
        <v>37</v>
      </c>
      <c r="W202" t="s">
        <v>50</v>
      </c>
      <c r="AD202" t="s">
        <v>93</v>
      </c>
    </row>
    <row r="203" spans="1:30" ht="15" customHeight="1" x14ac:dyDescent="0.25">
      <c r="A203">
        <v>40608</v>
      </c>
      <c r="B203" s="1">
        <v>45927</v>
      </c>
      <c r="C203" t="s">
        <v>53</v>
      </c>
      <c r="D203" t="s">
        <v>81</v>
      </c>
      <c r="E203" s="1">
        <v>45941</v>
      </c>
      <c r="F203" s="1">
        <v>45941</v>
      </c>
      <c r="G203" t="s">
        <v>82</v>
      </c>
      <c r="H203">
        <v>1007026482</v>
      </c>
      <c r="I203" t="s">
        <v>83</v>
      </c>
      <c r="J203" t="str">
        <f>IF(
   COUNTIFS(
      $E$2:E203,TRIM(UPPER(E203)),
      $G$2:G203,TRIM(UPPER(G203)),
      $C$2:C203,TEXT(C203,"aaaa-mm-dd"),
      $I$2:I203,TEXT(I203,"0")
   )&gt;1,
   "Duplicado",
   "Único"
)</f>
        <v>Único</v>
      </c>
      <c r="K203">
        <v>3006276586</v>
      </c>
      <c r="L203" t="s">
        <v>84</v>
      </c>
      <c r="M203" s="1">
        <v>37492</v>
      </c>
      <c r="N203">
        <v>23</v>
      </c>
      <c r="O203">
        <v>1</v>
      </c>
      <c r="P203" t="s">
        <v>61</v>
      </c>
      <c r="Q203" t="s">
        <v>85</v>
      </c>
      <c r="R203" t="s">
        <v>86</v>
      </c>
      <c r="S203" t="s">
        <v>87</v>
      </c>
      <c r="T203" t="s">
        <v>88</v>
      </c>
      <c r="U203" s="2">
        <v>45927.009045601852</v>
      </c>
      <c r="V203" t="s">
        <v>37</v>
      </c>
      <c r="W203" t="s">
        <v>94</v>
      </c>
      <c r="AD203" t="s">
        <v>95</v>
      </c>
    </row>
    <row r="204" spans="1:30" ht="15" customHeight="1" x14ac:dyDescent="0.25">
      <c r="A204">
        <v>11794</v>
      </c>
      <c r="B204" s="1">
        <v>45685</v>
      </c>
      <c r="C204" t="s">
        <v>830</v>
      </c>
      <c r="D204" t="s">
        <v>70</v>
      </c>
      <c r="E204" s="1">
        <v>45954</v>
      </c>
      <c r="F204" s="1">
        <v>45954</v>
      </c>
      <c r="G204" t="s">
        <v>71</v>
      </c>
      <c r="H204">
        <v>836866</v>
      </c>
      <c r="I204" t="s">
        <v>673</v>
      </c>
      <c r="J204" t="str">
        <f>IF(
   COUNTIFS(
      $E$2:E204,TRIM(UPPER(E204)),
      $G$2:G204,TRIM(UPPER(G204)),
      $C$2:C204,TEXT(C204,"aaaa-mm-dd"),
      $I$2:I204,TEXT(I204,"0")
   )&gt;1,
   "Duplicado",
   "Único"
)</f>
        <v>Único</v>
      </c>
      <c r="K204">
        <v>3244921396</v>
      </c>
      <c r="L204" t="s">
        <v>674</v>
      </c>
      <c r="M204" s="1">
        <v>32994</v>
      </c>
      <c r="N204">
        <v>35</v>
      </c>
      <c r="O204" t="s">
        <v>74</v>
      </c>
      <c r="P204" t="s">
        <v>61</v>
      </c>
      <c r="Q204" t="s">
        <v>466</v>
      </c>
      <c r="R204" t="s">
        <v>675</v>
      </c>
      <c r="S204" t="s">
        <v>676</v>
      </c>
      <c r="T204" t="s">
        <v>677</v>
      </c>
      <c r="U204" s="2">
        <v>45685.010861574076</v>
      </c>
      <c r="V204" t="s">
        <v>37</v>
      </c>
      <c r="W204" t="s">
        <v>116</v>
      </c>
      <c r="AD204" t="s">
        <v>214</v>
      </c>
    </row>
    <row r="205" spans="1:30" ht="15" customHeight="1" x14ac:dyDescent="0.25">
      <c r="A205">
        <v>46982</v>
      </c>
      <c r="B205" s="1">
        <v>45958</v>
      </c>
      <c r="C205" t="s">
        <v>53</v>
      </c>
      <c r="D205" t="s">
        <v>54</v>
      </c>
      <c r="E205" s="1">
        <v>45958</v>
      </c>
      <c r="F205" s="1">
        <v>45958</v>
      </c>
      <c r="G205" t="s">
        <v>91</v>
      </c>
      <c r="H205">
        <v>72157511</v>
      </c>
      <c r="I205" t="s">
        <v>685</v>
      </c>
      <c r="J205" t="str">
        <f>IF(
   COUNTIFS(
      $E$2:E205,TRIM(UPPER(E205)),
      $G$2:G205,TRIM(UPPER(G205)),
      $C$2:C205,TEXT(C205,"aaaa-mm-dd"),
      $I$2:I205,TEXT(I205,"0")
   )&gt;1,
   "Duplicado",
   "Único"
)</f>
        <v>Único</v>
      </c>
      <c r="K205">
        <v>3014566368</v>
      </c>
      <c r="L205" t="s">
        <v>686</v>
      </c>
      <c r="M205" s="1">
        <v>25119</v>
      </c>
      <c r="N205">
        <v>57</v>
      </c>
      <c r="O205">
        <v>1</v>
      </c>
      <c r="P205" t="s">
        <v>99</v>
      </c>
      <c r="Q205" t="s">
        <v>687</v>
      </c>
      <c r="S205" t="s">
        <v>111</v>
      </c>
      <c r="T205" t="s">
        <v>317</v>
      </c>
      <c r="U205" s="2">
        <v>45958.007384490738</v>
      </c>
      <c r="V205" t="s">
        <v>37</v>
      </c>
      <c r="W205" t="s">
        <v>38</v>
      </c>
      <c r="AD205" t="s">
        <v>688</v>
      </c>
    </row>
    <row r="206" spans="1:30" ht="15" customHeight="1" x14ac:dyDescent="0.25">
      <c r="A206">
        <v>42644</v>
      </c>
      <c r="B206" s="1">
        <v>45936</v>
      </c>
      <c r="C206" t="s">
        <v>53</v>
      </c>
      <c r="D206" t="s">
        <v>54</v>
      </c>
      <c r="E206" s="1">
        <v>45937</v>
      </c>
      <c r="F206" s="1">
        <v>45937</v>
      </c>
      <c r="G206" t="s">
        <v>91</v>
      </c>
      <c r="H206">
        <v>72157511</v>
      </c>
      <c r="I206" t="s">
        <v>685</v>
      </c>
      <c r="J206" t="str">
        <f>IF(
   COUNTIFS(
      $E$2:E206,TRIM(UPPER(E206)),
      $G$2:G206,TRIM(UPPER(G206)),
      $C$2:C206,TEXT(C206,"aaaa-mm-dd"),
      $I$2:I206,TEXT(I206,"0")
   )&gt;1,
   "Duplicado",
   "Único"
)</f>
        <v>Único</v>
      </c>
      <c r="K206">
        <v>3014566368</v>
      </c>
      <c r="L206" t="s">
        <v>686</v>
      </c>
      <c r="M206" s="1">
        <v>25119</v>
      </c>
      <c r="N206">
        <v>57</v>
      </c>
      <c r="O206">
        <v>1</v>
      </c>
      <c r="P206" t="s">
        <v>99</v>
      </c>
      <c r="Q206" t="s">
        <v>687</v>
      </c>
      <c r="S206" t="s">
        <v>111</v>
      </c>
      <c r="T206" t="s">
        <v>317</v>
      </c>
      <c r="U206" s="2">
        <v>45936.007050810185</v>
      </c>
      <c r="V206" t="s">
        <v>37</v>
      </c>
      <c r="W206" t="s">
        <v>50</v>
      </c>
      <c r="AD206" t="s">
        <v>688</v>
      </c>
    </row>
    <row r="207" spans="1:30" ht="15" customHeight="1" x14ac:dyDescent="0.25">
      <c r="A207">
        <v>40720</v>
      </c>
      <c r="B207" s="1">
        <v>45929</v>
      </c>
      <c r="C207" t="s">
        <v>29</v>
      </c>
      <c r="D207" t="s">
        <v>54</v>
      </c>
      <c r="E207" s="1">
        <v>45944</v>
      </c>
      <c r="F207" s="1">
        <v>45944</v>
      </c>
      <c r="G207" t="s">
        <v>30</v>
      </c>
      <c r="H207">
        <v>23072702530</v>
      </c>
      <c r="I207" t="s">
        <v>201</v>
      </c>
      <c r="J207" t="str">
        <f>IF(
   COUNTIFS(
      $E$2:E207,TRIM(UPPER(E207)),
      $G$2:G207,TRIM(UPPER(G207)),
      $C$2:C207,TEXT(C207,"aaaa-mm-dd"),
      $I$2:I207,TEXT(I207,"0")
   )&gt;1,
   "Duplicado",
   "Único"
)</f>
        <v>Único</v>
      </c>
      <c r="K207">
        <v>3055868554</v>
      </c>
      <c r="L207" t="s">
        <v>202</v>
      </c>
      <c r="M207" s="1">
        <v>25762</v>
      </c>
      <c r="N207">
        <v>55</v>
      </c>
      <c r="O207">
        <v>1</v>
      </c>
      <c r="P207" t="s">
        <v>45</v>
      </c>
      <c r="Q207" t="s">
        <v>203</v>
      </c>
      <c r="S207" t="s">
        <v>204</v>
      </c>
      <c r="U207" s="2">
        <v>45929.007320254626</v>
      </c>
      <c r="V207" t="s">
        <v>37</v>
      </c>
      <c r="W207" t="s">
        <v>38</v>
      </c>
      <c r="X207" t="s">
        <v>66</v>
      </c>
      <c r="Y207" t="s">
        <v>163</v>
      </c>
      <c r="AD207" t="s">
        <v>205</v>
      </c>
    </row>
    <row r="208" spans="1:30" ht="15" customHeight="1" x14ac:dyDescent="0.25">
      <c r="A208">
        <v>44091</v>
      </c>
      <c r="B208" s="1">
        <v>45944</v>
      </c>
      <c r="C208" t="s">
        <v>53</v>
      </c>
      <c r="D208" t="s">
        <v>54</v>
      </c>
      <c r="E208" s="1">
        <v>45944</v>
      </c>
      <c r="F208" s="1">
        <v>45944</v>
      </c>
      <c r="G208" t="s">
        <v>145</v>
      </c>
      <c r="H208">
        <v>23072702530</v>
      </c>
      <c r="I208" t="s">
        <v>201</v>
      </c>
      <c r="J208" t="str">
        <f>IF(
   COUNTIFS(
      $E$2:E208,TRIM(UPPER(E208)),
      $G$2:G208,TRIM(UPPER(G208)),
      $C$2:C208,TEXT(C208,"aaaa-mm-dd"),
      $I$2:I208,TEXT(I208,"0")
   )&gt;1,
   "Duplicado",
   "Único"
)</f>
        <v>Único</v>
      </c>
      <c r="K208">
        <v>3055868554</v>
      </c>
      <c r="L208" t="s">
        <v>202</v>
      </c>
      <c r="M208" s="1">
        <v>25762</v>
      </c>
      <c r="N208">
        <v>55</v>
      </c>
      <c r="O208">
        <v>1</v>
      </c>
      <c r="P208" t="s">
        <v>45</v>
      </c>
      <c r="Q208" t="s">
        <v>203</v>
      </c>
      <c r="S208" t="s">
        <v>204</v>
      </c>
      <c r="U208" s="2">
        <v>45944.009422337964</v>
      </c>
      <c r="V208" t="s">
        <v>37</v>
      </c>
      <c r="W208" t="s">
        <v>38</v>
      </c>
      <c r="AD208" t="s">
        <v>206</v>
      </c>
    </row>
    <row r="209" spans="1:30" ht="15" customHeight="1" x14ac:dyDescent="0.25">
      <c r="A209">
        <v>44722</v>
      </c>
      <c r="B209" s="1">
        <v>45947</v>
      </c>
      <c r="C209" t="s">
        <v>29</v>
      </c>
      <c r="D209" t="s">
        <v>54</v>
      </c>
      <c r="E209" s="1">
        <v>45948</v>
      </c>
      <c r="F209" s="1">
        <v>45948</v>
      </c>
      <c r="G209" t="s">
        <v>42</v>
      </c>
      <c r="H209">
        <v>1047237121</v>
      </c>
      <c r="I209" t="s">
        <v>197</v>
      </c>
      <c r="J209" t="str">
        <f>IF(
   COUNTIFS(
      $E$2:E209,TRIM(UPPER(E209)),
      $G$2:G209,TRIM(UPPER(G209)),
      $C$2:C209,TEXT(C209,"aaaa-mm-dd"),
      $I$2:I209,TEXT(I209,"0")
   )&gt;1,
   "Duplicado",
   "Único"
)</f>
        <v>Único</v>
      </c>
      <c r="K209">
        <v>3016816970</v>
      </c>
      <c r="L209" t="s">
        <v>131</v>
      </c>
      <c r="M209" s="1">
        <v>35564</v>
      </c>
      <c r="N209">
        <v>28</v>
      </c>
      <c r="O209">
        <v>1</v>
      </c>
      <c r="P209" t="s">
        <v>45</v>
      </c>
      <c r="Q209" t="s">
        <v>198</v>
      </c>
      <c r="R209" t="s">
        <v>199</v>
      </c>
      <c r="S209" t="s">
        <v>134</v>
      </c>
      <c r="T209" t="s">
        <v>135</v>
      </c>
      <c r="U209" s="2">
        <v>45947.005605671293</v>
      </c>
      <c r="V209" t="s">
        <v>37</v>
      </c>
      <c r="W209" t="s">
        <v>50</v>
      </c>
      <c r="X209" t="s">
        <v>66</v>
      </c>
      <c r="AD209" t="s">
        <v>200</v>
      </c>
    </row>
    <row r="210" spans="1:30" ht="15" customHeight="1" x14ac:dyDescent="0.25">
      <c r="A210">
        <v>45036</v>
      </c>
      <c r="B210" s="1">
        <v>45948</v>
      </c>
      <c r="C210" t="s">
        <v>29</v>
      </c>
      <c r="D210" t="s">
        <v>54</v>
      </c>
      <c r="E210" s="1">
        <v>45950</v>
      </c>
      <c r="F210" s="1">
        <v>45950</v>
      </c>
      <c r="G210" t="s">
        <v>42</v>
      </c>
      <c r="H210">
        <v>1047237121</v>
      </c>
      <c r="I210" t="s">
        <v>197</v>
      </c>
      <c r="J210" t="str">
        <f>IF(
   COUNTIFS(
      $E$2:E210,TRIM(UPPER(E210)),
      $G$2:G210,TRIM(UPPER(G210)),
      $C$2:C210,TEXT(C210,"aaaa-mm-dd"),
      $I$2:I210,TEXT(I210,"0")
   )&gt;1,
   "Duplicado",
   "Único"
)</f>
        <v>Único</v>
      </c>
      <c r="K210">
        <v>3016816970</v>
      </c>
      <c r="L210" t="s">
        <v>131</v>
      </c>
      <c r="M210" s="1">
        <v>35564</v>
      </c>
      <c r="N210">
        <v>28</v>
      </c>
      <c r="O210">
        <v>1</v>
      </c>
      <c r="P210" t="s">
        <v>45</v>
      </c>
      <c r="Q210" t="s">
        <v>198</v>
      </c>
      <c r="R210" t="s">
        <v>199</v>
      </c>
      <c r="S210" t="s">
        <v>134</v>
      </c>
      <c r="T210" t="s">
        <v>135</v>
      </c>
      <c r="U210" s="2">
        <v>45948.007340509263</v>
      </c>
      <c r="V210" t="s">
        <v>37</v>
      </c>
      <c r="W210" t="s">
        <v>136</v>
      </c>
      <c r="X210" t="s">
        <v>66</v>
      </c>
      <c r="AD210" t="s">
        <v>137</v>
      </c>
    </row>
    <row r="211" spans="1:30" ht="15" customHeight="1" x14ac:dyDescent="0.25">
      <c r="A211">
        <v>44032</v>
      </c>
      <c r="B211" s="1">
        <v>45944</v>
      </c>
      <c r="C211" t="s">
        <v>57</v>
      </c>
      <c r="D211" t="s">
        <v>70</v>
      </c>
      <c r="E211" s="1">
        <v>45961</v>
      </c>
      <c r="F211" s="1">
        <v>45961</v>
      </c>
      <c r="G211" t="s">
        <v>57</v>
      </c>
      <c r="H211">
        <v>72021874</v>
      </c>
      <c r="I211" t="s">
        <v>801</v>
      </c>
      <c r="J211" t="str">
        <f>IF(
   COUNTIFS(
      $E$2:E211,TRIM(UPPER(E211)),
      $G$2:G211,TRIM(UPPER(G211)),
      $C$2:C211,TEXT(C211,"aaaa-mm-dd"),
      $I$2:I211,TEXT(I211,"0")
   )&gt;1,
   "Duplicado",
   "Único"
)</f>
        <v>Único</v>
      </c>
      <c r="K211">
        <v>3014815625</v>
      </c>
      <c r="L211" t="s">
        <v>802</v>
      </c>
      <c r="P211" t="s">
        <v>183</v>
      </c>
      <c r="Q211" t="s">
        <v>803</v>
      </c>
      <c r="R211" t="s">
        <v>804</v>
      </c>
      <c r="S211" t="s">
        <v>805</v>
      </c>
      <c r="T211" t="s">
        <v>485</v>
      </c>
      <c r="U211" s="2">
        <v>45944.007964351855</v>
      </c>
      <c r="V211" t="s">
        <v>37</v>
      </c>
      <c r="W211" t="s">
        <v>50</v>
      </c>
      <c r="AD211" t="s">
        <v>373</v>
      </c>
    </row>
    <row r="212" spans="1:30" ht="15" customHeight="1" x14ac:dyDescent="0.25">
      <c r="A212">
        <v>34616</v>
      </c>
      <c r="B212" s="1">
        <v>45883</v>
      </c>
      <c r="C212" t="s">
        <v>29</v>
      </c>
      <c r="D212" t="s">
        <v>828</v>
      </c>
      <c r="E212" s="1">
        <v>45937</v>
      </c>
      <c r="F212" s="1">
        <v>45937</v>
      </c>
      <c r="G212" t="s">
        <v>42</v>
      </c>
      <c r="H212">
        <v>97052337</v>
      </c>
      <c r="I212" t="s">
        <v>263</v>
      </c>
      <c r="J212" t="str">
        <f>IF(
   COUNTIFS(
      $E$2:E212,TRIM(UPPER(E212)),
      $G$2:G212,TRIM(UPPER(G212)),
      $C$2:C212,TEXT(C212,"aaaa-mm-dd"),
      $I$2:I212,TEXT(I212,"0")
   )&gt;1,
   "Duplicado",
   "Único"
)</f>
        <v>Único</v>
      </c>
      <c r="K212">
        <v>6132529894</v>
      </c>
      <c r="L212" t="s">
        <v>264</v>
      </c>
      <c r="M212" s="1">
        <v>33136</v>
      </c>
      <c r="N212">
        <v>35</v>
      </c>
      <c r="O212">
        <v>1</v>
      </c>
      <c r="P212" t="s">
        <v>99</v>
      </c>
      <c r="Q212" t="s">
        <v>265</v>
      </c>
      <c r="S212" t="s">
        <v>266</v>
      </c>
      <c r="T212" t="s">
        <v>267</v>
      </c>
      <c r="U212" s="2">
        <v>45883.00684652778</v>
      </c>
      <c r="V212" t="s">
        <v>37</v>
      </c>
      <c r="W212" t="s">
        <v>50</v>
      </c>
      <c r="X212" t="s">
        <v>268</v>
      </c>
      <c r="Y212" t="s">
        <v>163</v>
      </c>
      <c r="AD212" t="s">
        <v>269</v>
      </c>
    </row>
    <row r="213" spans="1:30" ht="15" customHeight="1" x14ac:dyDescent="0.25">
      <c r="A213">
        <v>46496</v>
      </c>
      <c r="B213" s="1">
        <v>45955</v>
      </c>
      <c r="C213" t="s">
        <v>53</v>
      </c>
      <c r="D213" t="s">
        <v>70</v>
      </c>
      <c r="E213" s="1">
        <v>45955</v>
      </c>
      <c r="F213" s="1">
        <v>45955</v>
      </c>
      <c r="G213" t="s">
        <v>91</v>
      </c>
      <c r="H213">
        <v>15206545</v>
      </c>
      <c r="I213" t="s">
        <v>427</v>
      </c>
      <c r="J213" t="str">
        <f>IF(
   COUNTIFS(
      $E$2:E213,TRIM(UPPER(E213)),
      $G$2:G213,TRIM(UPPER(G213)),
      $C$2:C213,TEXT(C213,"aaaa-mm-dd"),
      $I$2:I213,TEXT(I213,"0")
   )&gt;1,
   "Duplicado",
   "Único"
)</f>
        <v>Único</v>
      </c>
      <c r="K213">
        <v>3013283009</v>
      </c>
      <c r="L213" t="s">
        <v>428</v>
      </c>
      <c r="M213" s="1">
        <v>30388</v>
      </c>
      <c r="N213">
        <v>42</v>
      </c>
      <c r="O213">
        <v>1</v>
      </c>
      <c r="P213" t="s">
        <v>32</v>
      </c>
      <c r="Q213" t="s">
        <v>429</v>
      </c>
      <c r="R213" t="s">
        <v>430</v>
      </c>
      <c r="S213" t="s">
        <v>111</v>
      </c>
      <c r="T213" t="s">
        <v>431</v>
      </c>
      <c r="U213" s="2">
        <v>45955.006279398149</v>
      </c>
      <c r="V213" t="s">
        <v>432</v>
      </c>
      <c r="W213" t="s">
        <v>38</v>
      </c>
      <c r="AD213" t="s">
        <v>433</v>
      </c>
    </row>
    <row r="214" spans="1:30" ht="15" customHeight="1" x14ac:dyDescent="0.25">
      <c r="A214">
        <v>42312</v>
      </c>
      <c r="B214" s="1">
        <v>45934</v>
      </c>
      <c r="C214" t="s">
        <v>53</v>
      </c>
      <c r="D214" t="s">
        <v>81</v>
      </c>
      <c r="E214" s="1">
        <v>45941</v>
      </c>
      <c r="F214" s="1">
        <v>45941</v>
      </c>
      <c r="G214" t="s">
        <v>82</v>
      </c>
      <c r="H214">
        <v>15206545</v>
      </c>
      <c r="I214" t="s">
        <v>427</v>
      </c>
      <c r="J214" t="str">
        <f>IF(
   COUNTIFS(
      $E$2:E214,TRIM(UPPER(E214)),
      $G$2:G214,TRIM(UPPER(G214)),
      $C$2:C214,TEXT(C214,"aaaa-mm-dd"),
      $I$2:I214,TEXT(I214,"0")
   )&gt;1,
   "Duplicado",
   "Único"
)</f>
        <v>Único</v>
      </c>
      <c r="K214">
        <v>3013283009</v>
      </c>
      <c r="L214" t="s">
        <v>428</v>
      </c>
      <c r="M214" s="1">
        <v>30388</v>
      </c>
      <c r="N214">
        <v>42</v>
      </c>
      <c r="O214">
        <v>1</v>
      </c>
      <c r="P214" t="s">
        <v>32</v>
      </c>
      <c r="Q214" t="s">
        <v>429</v>
      </c>
      <c r="R214" t="s">
        <v>430</v>
      </c>
      <c r="S214" t="s">
        <v>111</v>
      </c>
      <c r="T214" t="s">
        <v>431</v>
      </c>
      <c r="U214" s="2">
        <v>45934.007929282408</v>
      </c>
      <c r="V214" t="s">
        <v>432</v>
      </c>
      <c r="W214" t="s">
        <v>89</v>
      </c>
      <c r="AD214" t="s">
        <v>434</v>
      </c>
    </row>
    <row r="215" spans="1:30" ht="15" customHeight="1" x14ac:dyDescent="0.25">
      <c r="A215">
        <v>41255</v>
      </c>
      <c r="B215" s="1">
        <v>45931</v>
      </c>
      <c r="C215" t="s">
        <v>53</v>
      </c>
      <c r="D215" t="s">
        <v>70</v>
      </c>
      <c r="E215" s="1">
        <v>45941</v>
      </c>
      <c r="F215" s="1">
        <v>45941</v>
      </c>
      <c r="G215" t="s">
        <v>145</v>
      </c>
      <c r="H215">
        <v>15206545</v>
      </c>
      <c r="I215" t="s">
        <v>427</v>
      </c>
      <c r="J215" t="str">
        <f>IF(
   COUNTIFS(
      $E$2:E215,TRIM(UPPER(E215)),
      $G$2:G215,TRIM(UPPER(G215)),
      $C$2:C215,TEXT(C215,"aaaa-mm-dd"),
      $I$2:I215,TEXT(I215,"0")
   )&gt;1,
   "Duplicado",
   "Único"
)</f>
        <v>Único</v>
      </c>
      <c r="K215">
        <v>3013283009</v>
      </c>
      <c r="L215" t="s">
        <v>428</v>
      </c>
      <c r="M215" s="1">
        <v>30388</v>
      </c>
      <c r="N215">
        <v>42</v>
      </c>
      <c r="O215">
        <v>1</v>
      </c>
      <c r="P215" t="s">
        <v>32</v>
      </c>
      <c r="Q215" t="s">
        <v>429</v>
      </c>
      <c r="R215" t="s">
        <v>430</v>
      </c>
      <c r="S215" t="s">
        <v>111</v>
      </c>
      <c r="T215" t="s">
        <v>431</v>
      </c>
      <c r="U215" s="2">
        <v>45931.006660763887</v>
      </c>
      <c r="V215" t="s">
        <v>432</v>
      </c>
      <c r="W215" t="s">
        <v>38</v>
      </c>
      <c r="AD215" t="s">
        <v>435</v>
      </c>
    </row>
    <row r="216" spans="1:30" ht="15" customHeight="1" x14ac:dyDescent="0.25">
      <c r="A216">
        <v>42312</v>
      </c>
      <c r="B216" s="1">
        <v>45934</v>
      </c>
      <c r="C216" t="s">
        <v>53</v>
      </c>
      <c r="D216" t="s">
        <v>81</v>
      </c>
      <c r="E216" s="1">
        <v>45941</v>
      </c>
      <c r="F216" s="1">
        <v>45941</v>
      </c>
      <c r="G216" t="s">
        <v>82</v>
      </c>
      <c r="H216">
        <v>15206545</v>
      </c>
      <c r="I216" t="s">
        <v>427</v>
      </c>
      <c r="J216" t="str">
        <f>IF(
   COUNTIFS(
      $E$2:E216,TRIM(UPPER(E216)),
      $G$2:G216,TRIM(UPPER(G216)),
      $C$2:C216,TEXT(C216,"aaaa-mm-dd"),
      $I$2:I216,TEXT(I216,"0")
   )&gt;1,
   "Duplicado",
   "Único"
)</f>
        <v>Único</v>
      </c>
      <c r="K216">
        <v>3013283009</v>
      </c>
      <c r="L216" t="s">
        <v>428</v>
      </c>
      <c r="M216" s="1">
        <v>30388</v>
      </c>
      <c r="N216">
        <v>42</v>
      </c>
      <c r="O216">
        <v>1</v>
      </c>
      <c r="P216" t="s">
        <v>32</v>
      </c>
      <c r="Q216" t="s">
        <v>429</v>
      </c>
      <c r="R216" t="s">
        <v>430</v>
      </c>
      <c r="S216" t="s">
        <v>111</v>
      </c>
      <c r="T216" t="s">
        <v>431</v>
      </c>
      <c r="U216" s="2">
        <v>45934.007929282408</v>
      </c>
      <c r="V216" t="s">
        <v>432</v>
      </c>
      <c r="W216" t="s">
        <v>89</v>
      </c>
      <c r="AD216" t="s">
        <v>434</v>
      </c>
    </row>
    <row r="217" spans="1:30" ht="15" customHeight="1" x14ac:dyDescent="0.25">
      <c r="A217">
        <v>42312</v>
      </c>
      <c r="B217" s="1">
        <v>45934</v>
      </c>
      <c r="C217" t="s">
        <v>53</v>
      </c>
      <c r="D217" t="s">
        <v>81</v>
      </c>
      <c r="E217" s="1">
        <v>45941</v>
      </c>
      <c r="F217" s="1">
        <v>45941</v>
      </c>
      <c r="G217" t="s">
        <v>82</v>
      </c>
      <c r="H217">
        <v>15206545</v>
      </c>
      <c r="I217" t="s">
        <v>427</v>
      </c>
      <c r="J217" t="str">
        <f>IF(
   COUNTIFS(
      $E$2:E217,TRIM(UPPER(E217)),
      $G$2:G217,TRIM(UPPER(G217)),
      $C$2:C217,TEXT(C217,"aaaa-mm-dd"),
      $I$2:I217,TEXT(I217,"0")
   )&gt;1,
   "Duplicado",
   "Único"
)</f>
        <v>Único</v>
      </c>
      <c r="K217">
        <v>3013283009</v>
      </c>
      <c r="L217" t="s">
        <v>428</v>
      </c>
      <c r="M217" s="1">
        <v>30388</v>
      </c>
      <c r="N217">
        <v>42</v>
      </c>
      <c r="O217">
        <v>1</v>
      </c>
      <c r="P217" t="s">
        <v>32</v>
      </c>
      <c r="Q217" t="s">
        <v>429</v>
      </c>
      <c r="R217" t="s">
        <v>430</v>
      </c>
      <c r="S217" t="s">
        <v>111</v>
      </c>
      <c r="T217" t="s">
        <v>431</v>
      </c>
      <c r="U217" s="2">
        <v>45934.007929282408</v>
      </c>
      <c r="V217" t="s">
        <v>432</v>
      </c>
      <c r="W217" t="s">
        <v>89</v>
      </c>
      <c r="AD217" t="s">
        <v>434</v>
      </c>
    </row>
    <row r="218" spans="1:30" ht="15" customHeight="1" x14ac:dyDescent="0.25">
      <c r="A218">
        <v>46513</v>
      </c>
      <c r="B218" s="1">
        <v>45955</v>
      </c>
      <c r="C218" t="s">
        <v>57</v>
      </c>
      <c r="D218" t="s">
        <v>828</v>
      </c>
      <c r="E218" s="1">
        <v>45957</v>
      </c>
      <c r="F218" s="1">
        <v>45957</v>
      </c>
      <c r="G218" t="s">
        <v>57</v>
      </c>
      <c r="H218">
        <v>32853720</v>
      </c>
      <c r="I218" t="s">
        <v>717</v>
      </c>
      <c r="J218" t="str">
        <f>IF(
   COUNTIFS(
      $E$2:E218,TRIM(UPPER(E218)),
      $G$2:G218,TRIM(UPPER(G218)),
      $C$2:C218,TEXT(C218,"aaaa-mm-dd"),
      $I$2:I218,TEXT(I218,"0")
   )&gt;1,
   "Duplicado",
   "Único"
)</f>
        <v>Único</v>
      </c>
      <c r="K218">
        <v>3042901114</v>
      </c>
      <c r="L218" t="s">
        <v>718</v>
      </c>
      <c r="P218" t="s">
        <v>321</v>
      </c>
      <c r="Q218" t="s">
        <v>719</v>
      </c>
      <c r="S218" t="s">
        <v>720</v>
      </c>
      <c r="U218" s="2">
        <v>45955.006729398148</v>
      </c>
      <c r="V218" t="s">
        <v>37</v>
      </c>
      <c r="W218" t="s">
        <v>50</v>
      </c>
      <c r="AD218" t="s">
        <v>721</v>
      </c>
    </row>
    <row r="219" spans="1:30" ht="15" customHeight="1" x14ac:dyDescent="0.25">
      <c r="A219">
        <v>42860</v>
      </c>
      <c r="B219" s="1">
        <v>45937</v>
      </c>
      <c r="C219" t="s">
        <v>57</v>
      </c>
      <c r="D219" t="s">
        <v>70</v>
      </c>
      <c r="E219" s="1">
        <v>45940</v>
      </c>
      <c r="F219" s="1">
        <v>45940</v>
      </c>
      <c r="G219" t="s">
        <v>57</v>
      </c>
      <c r="H219">
        <v>1127574244</v>
      </c>
      <c r="I219" t="s">
        <v>528</v>
      </c>
      <c r="J219" t="str">
        <f>IF(
   COUNTIFS(
      $E$2:E219,TRIM(UPPER(E219)),
      $G$2:G219,TRIM(UPPER(G219)),
      $C$2:C219,TEXT(C219,"aaaa-mm-dd"),
      $I$2:I219,TEXT(I219,"0")
   )&gt;1,
   "Duplicado",
   "Único"
)</f>
        <v>Único</v>
      </c>
      <c r="K219">
        <v>3017449955</v>
      </c>
      <c r="L219" t="s">
        <v>529</v>
      </c>
      <c r="M219" s="1">
        <v>37082</v>
      </c>
      <c r="N219">
        <v>24</v>
      </c>
      <c r="O219">
        <v>1</v>
      </c>
      <c r="P219" t="s">
        <v>45</v>
      </c>
      <c r="Q219" t="s">
        <v>530</v>
      </c>
      <c r="R219" t="s">
        <v>531</v>
      </c>
      <c r="S219" t="s">
        <v>281</v>
      </c>
      <c r="T219" t="s">
        <v>532</v>
      </c>
      <c r="U219" s="2">
        <v>45937.006440740741</v>
      </c>
      <c r="V219" t="s">
        <v>37</v>
      </c>
      <c r="W219" t="s">
        <v>38</v>
      </c>
      <c r="X219" t="s">
        <v>533</v>
      </c>
      <c r="Y219" t="s">
        <v>67</v>
      </c>
      <c r="Z219" t="s">
        <v>68</v>
      </c>
      <c r="AA219" t="s">
        <v>68</v>
      </c>
      <c r="AB219" t="s">
        <v>68</v>
      </c>
      <c r="AC219" t="s">
        <v>68</v>
      </c>
      <c r="AD219" t="s">
        <v>58</v>
      </c>
    </row>
    <row r="220" spans="1:30" ht="15" customHeight="1" x14ac:dyDescent="0.25">
      <c r="A220">
        <v>45225</v>
      </c>
      <c r="B220" s="1">
        <v>45950</v>
      </c>
      <c r="C220" t="s">
        <v>57</v>
      </c>
      <c r="D220" t="s">
        <v>54</v>
      </c>
      <c r="E220" s="1">
        <v>45960</v>
      </c>
      <c r="F220" s="1">
        <v>45960</v>
      </c>
      <c r="G220" t="s">
        <v>57</v>
      </c>
      <c r="H220">
        <v>32880543</v>
      </c>
      <c r="I220" t="s">
        <v>706</v>
      </c>
      <c r="J220" t="str">
        <f>IF(
   COUNTIFS(
      $E$2:E220,TRIM(UPPER(E220)),
      $G$2:G220,TRIM(UPPER(G220)),
      $C$2:C220,TEXT(C220,"aaaa-mm-dd"),
      $I$2:I220,TEXT(I220,"0")
   )&gt;1,
   "Duplicado",
   "Único"
)</f>
        <v>Único</v>
      </c>
      <c r="K220">
        <v>3043420594</v>
      </c>
      <c r="L220" t="s">
        <v>707</v>
      </c>
      <c r="P220" t="s">
        <v>359</v>
      </c>
      <c r="Q220" t="s">
        <v>708</v>
      </c>
      <c r="R220" t="s">
        <v>709</v>
      </c>
      <c r="S220" t="s">
        <v>710</v>
      </c>
      <c r="T220" t="s">
        <v>711</v>
      </c>
      <c r="U220" s="2">
        <v>45950.00651875</v>
      </c>
      <c r="V220" t="s">
        <v>37</v>
      </c>
      <c r="W220" t="s">
        <v>94</v>
      </c>
      <c r="AD220" t="s">
        <v>365</v>
      </c>
    </row>
    <row r="221" spans="1:30" ht="15" customHeight="1" x14ac:dyDescent="0.25">
      <c r="A221">
        <v>45170</v>
      </c>
      <c r="B221" s="1">
        <v>45948</v>
      </c>
      <c r="C221" t="s">
        <v>57</v>
      </c>
      <c r="D221" t="s">
        <v>828</v>
      </c>
      <c r="E221" s="1">
        <v>45952</v>
      </c>
      <c r="F221" s="1">
        <v>45952</v>
      </c>
      <c r="G221" t="s">
        <v>57</v>
      </c>
      <c r="H221">
        <v>1043871858</v>
      </c>
      <c r="I221" t="s">
        <v>748</v>
      </c>
      <c r="J221" t="str">
        <f>IF(
   COUNTIFS(
      $E$2:E221,TRIM(UPPER(E221)),
      $G$2:G221,TRIM(UPPER(G221)),
      $C$2:C221,TEXT(C221,"aaaa-mm-dd"),
      $I$2:I221,TEXT(I221,"0")
   )&gt;1,
   "Duplicado",
   "Único"
)</f>
        <v>Único</v>
      </c>
      <c r="K221">
        <v>3242163641</v>
      </c>
      <c r="L221" t="s">
        <v>749</v>
      </c>
      <c r="P221" t="s">
        <v>183</v>
      </c>
      <c r="Q221" t="s">
        <v>618</v>
      </c>
      <c r="R221" t="s">
        <v>750</v>
      </c>
      <c r="S221" t="s">
        <v>676</v>
      </c>
      <c r="T221" t="s">
        <v>233</v>
      </c>
      <c r="U221" s="2">
        <v>45948.010884490737</v>
      </c>
      <c r="V221" t="s">
        <v>37</v>
      </c>
      <c r="W221" t="s">
        <v>116</v>
      </c>
      <c r="AD221" t="s">
        <v>58</v>
      </c>
    </row>
    <row r="222" spans="1:30" ht="15" customHeight="1" x14ac:dyDescent="0.25">
      <c r="A222">
        <v>47524</v>
      </c>
      <c r="B222" s="1">
        <v>45960</v>
      </c>
      <c r="C222" t="s">
        <v>147</v>
      </c>
      <c r="D222" t="s">
        <v>81</v>
      </c>
      <c r="E222" s="1">
        <v>45961</v>
      </c>
      <c r="F222" s="1">
        <v>45961</v>
      </c>
      <c r="G222" t="s">
        <v>399</v>
      </c>
      <c r="H222">
        <v>1053768824</v>
      </c>
      <c r="I222" t="s">
        <v>400</v>
      </c>
      <c r="J222" t="str">
        <f>IF(
   COUNTIFS(
      $E$2:E222,TRIM(UPPER(E222)),
      $G$2:G222,TRIM(UPPER(G222)),
      $C$2:C222,TEXT(C222,"aaaa-mm-dd"),
      $I$2:I222,TEXT(I222,"0")
   )&gt;1,
   "Duplicado",
   "Único"
)</f>
        <v>Único</v>
      </c>
      <c r="K222">
        <v>3183939939</v>
      </c>
      <c r="L222" t="s">
        <v>401</v>
      </c>
      <c r="M222" s="1">
        <v>31731</v>
      </c>
      <c r="N222">
        <v>39</v>
      </c>
      <c r="O222">
        <v>1</v>
      </c>
      <c r="P222" t="s">
        <v>32</v>
      </c>
      <c r="Q222" t="s">
        <v>402</v>
      </c>
      <c r="S222" t="s">
        <v>403</v>
      </c>
      <c r="T222" t="s">
        <v>404</v>
      </c>
      <c r="U222" s="2">
        <v>45960.010617361113</v>
      </c>
      <c r="V222" t="s">
        <v>37</v>
      </c>
      <c r="W222" t="s">
        <v>89</v>
      </c>
      <c r="AD222" t="s">
        <v>405</v>
      </c>
    </row>
    <row r="223" spans="1:30" ht="15" customHeight="1" x14ac:dyDescent="0.25">
      <c r="A223">
        <v>45547</v>
      </c>
      <c r="B223" s="1">
        <v>45951</v>
      </c>
      <c r="C223" t="s">
        <v>53</v>
      </c>
      <c r="D223" t="s">
        <v>70</v>
      </c>
      <c r="E223" s="1">
        <v>45953</v>
      </c>
      <c r="F223" s="1">
        <v>45953</v>
      </c>
      <c r="G223" t="s">
        <v>122</v>
      </c>
      <c r="H223">
        <v>1053768824</v>
      </c>
      <c r="I223" t="s">
        <v>400</v>
      </c>
      <c r="J223" t="str">
        <f>IF(
   COUNTIFS(
      $E$2:E223,TRIM(UPPER(E223)),
      $G$2:G223,TRIM(UPPER(G223)),
      $C$2:C223,TEXT(C223,"aaaa-mm-dd"),
      $I$2:I223,TEXT(I223,"0")
   )&gt;1,
   "Duplicado",
   "Único"
)</f>
        <v>Único</v>
      </c>
      <c r="K223">
        <v>3183939939</v>
      </c>
      <c r="L223" t="s">
        <v>401</v>
      </c>
      <c r="M223" s="1">
        <v>31731</v>
      </c>
      <c r="N223">
        <v>39</v>
      </c>
      <c r="O223">
        <v>1</v>
      </c>
      <c r="P223" t="s">
        <v>32</v>
      </c>
      <c r="Q223" t="s">
        <v>402</v>
      </c>
      <c r="S223" t="s">
        <v>403</v>
      </c>
      <c r="T223" t="s">
        <v>404</v>
      </c>
      <c r="U223" s="2">
        <v>45951.007018750002</v>
      </c>
      <c r="V223" t="s">
        <v>37</v>
      </c>
      <c r="W223" t="s">
        <v>38</v>
      </c>
      <c r="AD223" t="s">
        <v>406</v>
      </c>
    </row>
    <row r="224" spans="1:30" ht="15" customHeight="1" x14ac:dyDescent="0.25">
      <c r="A224">
        <v>43324</v>
      </c>
      <c r="B224" s="1">
        <v>45939</v>
      </c>
      <c r="C224" t="s">
        <v>57</v>
      </c>
      <c r="D224" t="s">
        <v>70</v>
      </c>
      <c r="E224" s="1">
        <v>45939</v>
      </c>
      <c r="F224" s="1">
        <v>45939</v>
      </c>
      <c r="G224" t="s">
        <v>57</v>
      </c>
      <c r="H224">
        <v>6708642</v>
      </c>
      <c r="I224" t="s">
        <v>306</v>
      </c>
      <c r="J224" t="str">
        <f>IF(
   COUNTIFS(
      $E$2:E224,TRIM(UPPER(E224)),
      $G$2:G224,TRIM(UPPER(G224)),
      $C$2:C224,TEXT(C224,"aaaa-mm-dd"),
      $I$2:I224,TEXT(I224,"0")
   )&gt;1,
   "Duplicado",
   "Único"
)</f>
        <v>Único</v>
      </c>
      <c r="K224">
        <v>3475797545</v>
      </c>
      <c r="L224" t="s">
        <v>307</v>
      </c>
      <c r="M224" s="1">
        <v>33625</v>
      </c>
      <c r="N224">
        <v>33</v>
      </c>
      <c r="O224">
        <v>1</v>
      </c>
      <c r="P224" t="s">
        <v>45</v>
      </c>
      <c r="Q224" t="s">
        <v>308</v>
      </c>
      <c r="R224" t="s">
        <v>309</v>
      </c>
      <c r="S224" t="s">
        <v>310</v>
      </c>
      <c r="U224" s="2">
        <v>45939.00717986111</v>
      </c>
      <c r="V224" t="s">
        <v>37</v>
      </c>
      <c r="W224" t="s">
        <v>38</v>
      </c>
      <c r="X224" s="3" t="s">
        <v>171</v>
      </c>
      <c r="Y224" t="s">
        <v>67</v>
      </c>
      <c r="Z224" t="s">
        <v>67</v>
      </c>
      <c r="AA224" t="s">
        <v>68</v>
      </c>
      <c r="AB224" t="s">
        <v>68</v>
      </c>
      <c r="AC224" t="s">
        <v>68</v>
      </c>
    </row>
    <row r="225" spans="1:30" ht="15" customHeight="1" x14ac:dyDescent="0.25">
      <c r="A225">
        <v>43446</v>
      </c>
      <c r="B225" s="1">
        <v>45939</v>
      </c>
      <c r="C225" t="s">
        <v>53</v>
      </c>
      <c r="D225" t="s">
        <v>81</v>
      </c>
      <c r="E225" s="1">
        <v>45940</v>
      </c>
      <c r="F225" s="1">
        <v>45940</v>
      </c>
      <c r="G225" t="s">
        <v>82</v>
      </c>
      <c r="H225">
        <v>6708642</v>
      </c>
      <c r="I225" t="s">
        <v>306</v>
      </c>
      <c r="J225" t="str">
        <f>IF(
   COUNTIFS(
      $E$2:E225,TRIM(UPPER(E225)),
      $G$2:G225,TRIM(UPPER(G225)),
      $C$2:C225,TEXT(C225,"aaaa-mm-dd"),
      $I$2:I225,TEXT(I225,"0")
   )&gt;1,
   "Duplicado",
   "Único"
)</f>
        <v>Único</v>
      </c>
      <c r="K225">
        <v>3475797545</v>
      </c>
      <c r="L225" t="s">
        <v>307</v>
      </c>
      <c r="M225" s="1">
        <v>33625</v>
      </c>
      <c r="N225">
        <v>33</v>
      </c>
      <c r="O225">
        <v>1</v>
      </c>
      <c r="P225" t="s">
        <v>45</v>
      </c>
      <c r="Q225" t="s">
        <v>308</v>
      </c>
      <c r="R225" t="s">
        <v>309</v>
      </c>
      <c r="S225" t="s">
        <v>310</v>
      </c>
      <c r="U225" s="2">
        <v>45939.011437615743</v>
      </c>
      <c r="V225" t="s">
        <v>37</v>
      </c>
      <c r="W225" t="s">
        <v>38</v>
      </c>
      <c r="AD225" t="s">
        <v>311</v>
      </c>
    </row>
    <row r="226" spans="1:30" ht="15" customHeight="1" x14ac:dyDescent="0.25">
      <c r="A226">
        <v>41518</v>
      </c>
      <c r="B226" s="1">
        <v>45932</v>
      </c>
      <c r="C226" t="s">
        <v>57</v>
      </c>
      <c r="D226" t="s">
        <v>54</v>
      </c>
      <c r="E226" s="1">
        <v>45932</v>
      </c>
      <c r="F226" s="1">
        <v>45932</v>
      </c>
      <c r="G226" t="s">
        <v>57</v>
      </c>
      <c r="H226">
        <v>79751794</v>
      </c>
      <c r="I226" t="s">
        <v>751</v>
      </c>
      <c r="J226" t="str">
        <f>IF(
   COUNTIFS(
      $E$2:E226,TRIM(UPPER(E226)),
      $G$2:G226,TRIM(UPPER(G226)),
      $C$2:C226,TEXT(C226,"aaaa-mm-dd"),
      $I$2:I226,TEXT(I226,"0")
   )&gt;1,
   "Duplicado",
   "Único"
)</f>
        <v>Único</v>
      </c>
      <c r="K226">
        <v>3108019114</v>
      </c>
      <c r="L226" t="s">
        <v>752</v>
      </c>
      <c r="M226" s="1">
        <v>27229</v>
      </c>
      <c r="N226">
        <v>51</v>
      </c>
      <c r="P226" t="s">
        <v>99</v>
      </c>
      <c r="Q226" t="s">
        <v>753</v>
      </c>
      <c r="R226" t="s">
        <v>754</v>
      </c>
      <c r="S226" t="s">
        <v>755</v>
      </c>
      <c r="T226" t="s">
        <v>755</v>
      </c>
      <c r="U226" s="2">
        <v>45932.005178125</v>
      </c>
      <c r="V226" t="s">
        <v>37</v>
      </c>
      <c r="W226" t="s">
        <v>50</v>
      </c>
      <c r="AD226" t="s">
        <v>756</v>
      </c>
    </row>
    <row r="227" spans="1:30" ht="15" customHeight="1" x14ac:dyDescent="0.25">
      <c r="A227">
        <v>46009</v>
      </c>
      <c r="B227" s="1">
        <v>45953</v>
      </c>
      <c r="C227" t="s">
        <v>156</v>
      </c>
      <c r="D227" t="s">
        <v>157</v>
      </c>
      <c r="E227" s="1">
        <v>45960</v>
      </c>
      <c r="F227" s="1">
        <v>45960</v>
      </c>
      <c r="G227" t="s">
        <v>158</v>
      </c>
      <c r="H227">
        <v>1001940749</v>
      </c>
      <c r="I227" t="s">
        <v>407</v>
      </c>
      <c r="J227" t="str">
        <f>IF(
   COUNTIFS(
      $E$2:E227,TRIM(UPPER(E227)),
      $G$2:G227,TRIM(UPPER(G227)),
      $C$2:C227,TEXT(C227,"aaaa-mm-dd"),
      $I$2:I227,TEXT(I227,"0")
   )&gt;1,
   "Duplicado",
   "Único"
)</f>
        <v>Único</v>
      </c>
      <c r="K227">
        <v>3125095110</v>
      </c>
      <c r="L227" t="s">
        <v>408</v>
      </c>
      <c r="M227" s="1">
        <v>32069</v>
      </c>
      <c r="N227">
        <v>38</v>
      </c>
      <c r="O227">
        <v>1</v>
      </c>
      <c r="P227" t="s">
        <v>321</v>
      </c>
      <c r="Q227" t="s">
        <v>409</v>
      </c>
      <c r="R227" t="s">
        <v>410</v>
      </c>
      <c r="S227" t="s">
        <v>411</v>
      </c>
      <c r="T227" t="s">
        <v>412</v>
      </c>
      <c r="U227" s="2">
        <v>45953.006412037037</v>
      </c>
      <c r="V227" t="s">
        <v>37</v>
      </c>
      <c r="W227" t="s">
        <v>116</v>
      </c>
      <c r="AD227" t="s">
        <v>413</v>
      </c>
    </row>
    <row r="228" spans="1:30" ht="15" customHeight="1" x14ac:dyDescent="0.25">
      <c r="A228">
        <v>46008</v>
      </c>
      <c r="B228" s="1">
        <v>45953</v>
      </c>
      <c r="C228" t="s">
        <v>156</v>
      </c>
      <c r="D228" t="s">
        <v>157</v>
      </c>
      <c r="E228" s="1">
        <v>45959</v>
      </c>
      <c r="F228" s="1">
        <v>45959</v>
      </c>
      <c r="G228" t="s">
        <v>160</v>
      </c>
      <c r="H228">
        <v>1001940749</v>
      </c>
      <c r="I228" t="s">
        <v>407</v>
      </c>
      <c r="J228" t="str">
        <f>IF(
   COUNTIFS(
      $E$2:E228,TRIM(UPPER(E228)),
      $G$2:G228,TRIM(UPPER(G228)),
      $C$2:C228,TEXT(C228,"aaaa-mm-dd"),
      $I$2:I228,TEXT(I228,"0")
   )&gt;1,
   "Duplicado",
   "Único"
)</f>
        <v>Único</v>
      </c>
      <c r="K228">
        <v>3125095110</v>
      </c>
      <c r="L228" t="s">
        <v>408</v>
      </c>
      <c r="M228" s="1">
        <v>32069</v>
      </c>
      <c r="N228">
        <v>38</v>
      </c>
      <c r="O228">
        <v>1</v>
      </c>
      <c r="P228" t="s">
        <v>321</v>
      </c>
      <c r="Q228" t="s">
        <v>409</v>
      </c>
      <c r="R228" t="s">
        <v>410</v>
      </c>
      <c r="S228" t="s">
        <v>411</v>
      </c>
      <c r="T228" t="s">
        <v>412</v>
      </c>
      <c r="U228" s="2">
        <v>45953.006402199077</v>
      </c>
      <c r="V228" t="s">
        <v>37</v>
      </c>
      <c r="W228" t="s">
        <v>116</v>
      </c>
      <c r="AD228" t="s">
        <v>414</v>
      </c>
    </row>
    <row r="229" spans="1:30" ht="15" customHeight="1" x14ac:dyDescent="0.25">
      <c r="A229">
        <v>42457</v>
      </c>
      <c r="B229" s="1">
        <v>45934</v>
      </c>
      <c r="C229" t="s">
        <v>276</v>
      </c>
      <c r="D229" t="s">
        <v>54</v>
      </c>
      <c r="E229" s="1">
        <v>45941</v>
      </c>
      <c r="F229" s="1">
        <v>45941</v>
      </c>
      <c r="G229" t="s">
        <v>277</v>
      </c>
      <c r="H229">
        <v>32865969</v>
      </c>
      <c r="I229" t="s">
        <v>301</v>
      </c>
      <c r="J229" t="str">
        <f>IF(
   COUNTIFS(
      $E$2:E229,TRIM(UPPER(E229)),
      $G$2:G229,TRIM(UPPER(G229)),
      $C$2:C229,TEXT(C229,"aaaa-mm-dd"),
      $I$2:I229,TEXT(I229,"0")
   )&gt;1,
   "Duplicado",
   "Único"
)</f>
        <v>Único</v>
      </c>
      <c r="K229">
        <v>3017067489</v>
      </c>
      <c r="L229" t="s">
        <v>302</v>
      </c>
      <c r="M229" s="1">
        <v>27053</v>
      </c>
      <c r="N229">
        <v>51</v>
      </c>
      <c r="O229">
        <v>1</v>
      </c>
      <c r="P229" t="s">
        <v>61</v>
      </c>
      <c r="Q229" t="s">
        <v>303</v>
      </c>
      <c r="R229" t="s">
        <v>46</v>
      </c>
      <c r="S229" t="s">
        <v>304</v>
      </c>
      <c r="T229" t="s">
        <v>212</v>
      </c>
      <c r="U229" s="2">
        <v>45934.009827199072</v>
      </c>
      <c r="V229" t="s">
        <v>37</v>
      </c>
      <c r="W229" t="s">
        <v>50</v>
      </c>
      <c r="AD229" t="s">
        <v>305</v>
      </c>
    </row>
    <row r="230" spans="1:30" ht="15" customHeight="1" x14ac:dyDescent="0.25">
      <c r="A230">
        <v>41900</v>
      </c>
      <c r="B230" s="1">
        <v>45933</v>
      </c>
      <c r="C230" t="s">
        <v>276</v>
      </c>
      <c r="D230" t="s">
        <v>54</v>
      </c>
      <c r="E230" s="1">
        <v>45934</v>
      </c>
      <c r="F230" s="1">
        <v>45934</v>
      </c>
      <c r="G230" t="s">
        <v>277</v>
      </c>
      <c r="H230">
        <v>32865969</v>
      </c>
      <c r="I230" t="s">
        <v>301</v>
      </c>
      <c r="J230" t="str">
        <f>IF(
   COUNTIFS(
      $E$2:E230,TRIM(UPPER(E230)),
      $G$2:G230,TRIM(UPPER(G230)),
      $C$2:C230,TEXT(C230,"aaaa-mm-dd"),
      $I$2:I230,TEXT(I230,"0")
   )&gt;1,
   "Duplicado",
   "Único"
)</f>
        <v>Único</v>
      </c>
      <c r="K230">
        <v>3017067489</v>
      </c>
      <c r="L230" t="s">
        <v>302</v>
      </c>
      <c r="M230" s="1">
        <v>27053</v>
      </c>
      <c r="N230">
        <v>51</v>
      </c>
      <c r="O230">
        <v>1</v>
      </c>
      <c r="P230" t="s">
        <v>61</v>
      </c>
      <c r="Q230" t="s">
        <v>303</v>
      </c>
      <c r="R230" t="s">
        <v>46</v>
      </c>
      <c r="S230" t="s">
        <v>304</v>
      </c>
      <c r="T230" t="s">
        <v>212</v>
      </c>
      <c r="U230" s="2">
        <v>45933.006915509257</v>
      </c>
      <c r="V230" t="s">
        <v>37</v>
      </c>
      <c r="W230" t="s">
        <v>89</v>
      </c>
      <c r="AD230" t="s">
        <v>305</v>
      </c>
    </row>
    <row r="231" spans="1:30" ht="15" customHeight="1" x14ac:dyDescent="0.25">
      <c r="A231">
        <v>46075</v>
      </c>
      <c r="B231" s="1">
        <v>45953</v>
      </c>
      <c r="C231" t="s">
        <v>147</v>
      </c>
      <c r="D231" t="s">
        <v>81</v>
      </c>
      <c r="E231" s="1">
        <v>45955</v>
      </c>
      <c r="F231" s="1">
        <v>45955</v>
      </c>
      <c r="G231" t="s">
        <v>148</v>
      </c>
      <c r="H231">
        <v>703073338</v>
      </c>
      <c r="I231" t="s">
        <v>539</v>
      </c>
      <c r="J231" t="str">
        <f>IF(
   COUNTIFS(
      $E$2:E231,TRIM(UPPER(E231)),
      $G$2:G231,TRIM(UPPER(G231)),
      $C$2:C231,TEXT(C231,"aaaa-mm-dd"),
      $I$2:I231,TEXT(I231,"0")
   )&gt;1,
   "Duplicado",
   "Único"
)</f>
        <v>Único</v>
      </c>
      <c r="K231">
        <v>3998864123</v>
      </c>
      <c r="L231" t="s">
        <v>540</v>
      </c>
      <c r="M231" s="1">
        <v>28096</v>
      </c>
      <c r="N231">
        <v>48</v>
      </c>
      <c r="O231">
        <v>1</v>
      </c>
      <c r="P231" t="s">
        <v>61</v>
      </c>
      <c r="Q231" t="s">
        <v>541</v>
      </c>
      <c r="R231" t="s">
        <v>542</v>
      </c>
      <c r="S231" t="s">
        <v>460</v>
      </c>
      <c r="T231" t="s">
        <v>543</v>
      </c>
      <c r="U231" s="2">
        <v>45953.007606944448</v>
      </c>
      <c r="V231" t="s">
        <v>37</v>
      </c>
      <c r="W231" t="s">
        <v>89</v>
      </c>
      <c r="AD231" t="s">
        <v>544</v>
      </c>
    </row>
    <row r="232" spans="1:30" ht="15" customHeight="1" x14ac:dyDescent="0.25">
      <c r="A232">
        <v>42449</v>
      </c>
      <c r="B232" s="1">
        <v>45934</v>
      </c>
      <c r="C232" t="s">
        <v>57</v>
      </c>
      <c r="D232" t="s">
        <v>54</v>
      </c>
      <c r="E232" s="1">
        <v>45936</v>
      </c>
      <c r="F232" s="1">
        <v>45936</v>
      </c>
      <c r="G232" t="s">
        <v>57</v>
      </c>
      <c r="H232">
        <v>703073338</v>
      </c>
      <c r="I232" t="s">
        <v>539</v>
      </c>
      <c r="J232" t="str">
        <f>IF(
   COUNTIFS(
      $E$2:E232,TRIM(UPPER(E232)),
      $G$2:G232,TRIM(UPPER(G232)),
      $C$2:C232,TEXT(C232,"aaaa-mm-dd"),
      $I$2:I232,TEXT(I232,"0")
   )&gt;1,
   "Duplicado",
   "Único"
)</f>
        <v>Único</v>
      </c>
      <c r="K232">
        <v>3998864123</v>
      </c>
      <c r="L232" t="s">
        <v>540</v>
      </c>
      <c r="M232" s="1">
        <v>28096</v>
      </c>
      <c r="N232">
        <v>48</v>
      </c>
      <c r="O232">
        <v>1</v>
      </c>
      <c r="P232" t="s">
        <v>61</v>
      </c>
      <c r="Q232" t="s">
        <v>541</v>
      </c>
      <c r="R232" t="s">
        <v>542</v>
      </c>
      <c r="S232" t="s">
        <v>460</v>
      </c>
      <c r="T232" t="s">
        <v>543</v>
      </c>
      <c r="U232" s="2">
        <v>45934.00947986111</v>
      </c>
      <c r="V232" t="s">
        <v>37</v>
      </c>
      <c r="W232" t="s">
        <v>50</v>
      </c>
      <c r="X232" t="s">
        <v>66</v>
      </c>
      <c r="Y232" t="s">
        <v>163</v>
      </c>
      <c r="AD232" t="s">
        <v>545</v>
      </c>
    </row>
    <row r="233" spans="1:30" ht="15" customHeight="1" x14ac:dyDescent="0.25">
      <c r="A233">
        <v>44446</v>
      </c>
      <c r="B233" s="1">
        <v>45945</v>
      </c>
      <c r="C233" t="s">
        <v>57</v>
      </c>
      <c r="D233" t="s">
        <v>54</v>
      </c>
      <c r="E233" s="1">
        <v>45946</v>
      </c>
      <c r="F233" s="1">
        <v>45946</v>
      </c>
      <c r="G233" t="s">
        <v>57</v>
      </c>
      <c r="H233">
        <v>703073338</v>
      </c>
      <c r="I233" t="s">
        <v>539</v>
      </c>
      <c r="J233" t="str">
        <f>IF(
   COUNTIFS(
      $E$2:E233,TRIM(UPPER(E233)),
      $G$2:G233,TRIM(UPPER(G233)),
      $C$2:C233,TEXT(C233,"aaaa-mm-dd"),
      $I$2:I233,TEXT(I233,"0")
   )&gt;1,
   "Duplicado",
   "Único"
)</f>
        <v>Único</v>
      </c>
      <c r="K233">
        <v>3998864123</v>
      </c>
      <c r="L233" t="s">
        <v>540</v>
      </c>
      <c r="M233" s="1">
        <v>28096</v>
      </c>
      <c r="N233">
        <v>48</v>
      </c>
      <c r="O233">
        <v>1</v>
      </c>
      <c r="P233" t="s">
        <v>61</v>
      </c>
      <c r="Q233" t="s">
        <v>541</v>
      </c>
      <c r="R233" t="s">
        <v>542</v>
      </c>
      <c r="S233" t="s">
        <v>460</v>
      </c>
      <c r="T233" t="s">
        <v>543</v>
      </c>
      <c r="U233" s="2">
        <v>45945.011289699076</v>
      </c>
      <c r="V233" t="s">
        <v>37</v>
      </c>
      <c r="W233" t="s">
        <v>38</v>
      </c>
      <c r="X233" t="s">
        <v>66</v>
      </c>
      <c r="Y233" t="s">
        <v>163</v>
      </c>
      <c r="AD233" t="s">
        <v>546</v>
      </c>
    </row>
    <row r="234" spans="1:30" ht="15" customHeight="1" x14ac:dyDescent="0.25">
      <c r="A234">
        <v>44130</v>
      </c>
      <c r="B234" s="1">
        <v>45944</v>
      </c>
      <c r="C234" t="s">
        <v>156</v>
      </c>
      <c r="D234" t="s">
        <v>157</v>
      </c>
      <c r="E234" s="1">
        <v>45948</v>
      </c>
      <c r="F234" s="1">
        <v>45948</v>
      </c>
      <c r="G234" t="s">
        <v>160</v>
      </c>
      <c r="H234">
        <v>703073338</v>
      </c>
      <c r="I234" t="s">
        <v>539</v>
      </c>
      <c r="J234" t="str">
        <f>IF(
   COUNTIFS(
      $E$2:E234,TRIM(UPPER(E234)),
      $G$2:G234,TRIM(UPPER(G234)),
      $C$2:C234,TEXT(C234,"aaaa-mm-dd"),
      $I$2:I234,TEXT(I234,"0")
   )&gt;1,
   "Duplicado",
   "Único"
)</f>
        <v>Único</v>
      </c>
      <c r="K234">
        <v>3998864123</v>
      </c>
      <c r="L234" t="s">
        <v>540</v>
      </c>
      <c r="M234" s="1">
        <v>28096</v>
      </c>
      <c r="N234">
        <v>48</v>
      </c>
      <c r="O234">
        <v>1</v>
      </c>
      <c r="P234" t="s">
        <v>61</v>
      </c>
      <c r="Q234" t="s">
        <v>541</v>
      </c>
      <c r="R234" t="s">
        <v>542</v>
      </c>
      <c r="S234" t="s">
        <v>460</v>
      </c>
      <c r="T234" t="s">
        <v>543</v>
      </c>
      <c r="U234" s="2">
        <v>45944.010372800927</v>
      </c>
      <c r="V234" t="s">
        <v>37</v>
      </c>
      <c r="W234" t="s">
        <v>89</v>
      </c>
      <c r="AD234" t="s">
        <v>547</v>
      </c>
    </row>
    <row r="235" spans="1:30" ht="15" customHeight="1" x14ac:dyDescent="0.25">
      <c r="A235">
        <v>44129</v>
      </c>
      <c r="B235" s="1">
        <v>45944</v>
      </c>
      <c r="C235" t="s">
        <v>156</v>
      </c>
      <c r="D235" t="s">
        <v>157</v>
      </c>
      <c r="E235" s="1">
        <v>45947</v>
      </c>
      <c r="F235" s="1">
        <v>45947</v>
      </c>
      <c r="G235" t="s">
        <v>160</v>
      </c>
      <c r="H235">
        <v>703073338</v>
      </c>
      <c r="I235" t="s">
        <v>539</v>
      </c>
      <c r="J235" t="str">
        <f>IF(
   COUNTIFS(
      $E$2:E235,TRIM(UPPER(E235)),
      $G$2:G235,TRIM(UPPER(G235)),
      $C$2:C235,TEXT(C235,"aaaa-mm-dd"),
      $I$2:I235,TEXT(I235,"0")
   )&gt;1,
   "Duplicado",
   "Único"
)</f>
        <v>Único</v>
      </c>
      <c r="K235">
        <v>3998864123</v>
      </c>
      <c r="L235" t="s">
        <v>540</v>
      </c>
      <c r="M235" s="1">
        <v>28096</v>
      </c>
      <c r="N235">
        <v>48</v>
      </c>
      <c r="O235">
        <v>1</v>
      </c>
      <c r="P235" t="s">
        <v>61</v>
      </c>
      <c r="Q235" t="s">
        <v>541</v>
      </c>
      <c r="R235" t="s">
        <v>542</v>
      </c>
      <c r="S235" t="s">
        <v>460</v>
      </c>
      <c r="T235" t="s">
        <v>543</v>
      </c>
      <c r="U235" s="2">
        <v>45944.01036226852</v>
      </c>
      <c r="V235" t="s">
        <v>37</v>
      </c>
      <c r="W235" t="s">
        <v>89</v>
      </c>
      <c r="AD235" t="s">
        <v>548</v>
      </c>
    </row>
    <row r="236" spans="1:30" ht="15" customHeight="1" x14ac:dyDescent="0.25">
      <c r="A236">
        <v>40076</v>
      </c>
      <c r="B236" s="1">
        <v>45924</v>
      </c>
      <c r="C236" t="s">
        <v>53</v>
      </c>
      <c r="D236" t="s">
        <v>81</v>
      </c>
      <c r="E236" s="1">
        <v>45951</v>
      </c>
      <c r="F236" s="1">
        <v>45951</v>
      </c>
      <c r="G236" t="s">
        <v>82</v>
      </c>
      <c r="H236">
        <v>88238374</v>
      </c>
      <c r="I236" t="s">
        <v>188</v>
      </c>
      <c r="J236" t="str">
        <f>IF(
   COUNTIFS(
      $E$2:E236,TRIM(UPPER(E236)),
      $G$2:G236,TRIM(UPPER(G236)),
      $C$2:C236,TEXT(C236,"aaaa-mm-dd"),
      $I$2:I236,TEXT(I236,"0")
   )&gt;1,
   "Duplicado",
   "Único"
)</f>
        <v>Único</v>
      </c>
      <c r="K236">
        <v>3107601366</v>
      </c>
      <c r="L236" t="s">
        <v>189</v>
      </c>
      <c r="M236" s="1">
        <v>28872</v>
      </c>
      <c r="N236">
        <v>46</v>
      </c>
      <c r="O236" t="s">
        <v>74</v>
      </c>
      <c r="P236" t="s">
        <v>61</v>
      </c>
      <c r="Q236" t="s">
        <v>190</v>
      </c>
      <c r="R236" t="s">
        <v>191</v>
      </c>
      <c r="S236" t="s">
        <v>192</v>
      </c>
      <c r="T236" t="s">
        <v>193</v>
      </c>
      <c r="U236" s="2">
        <v>45924.007049305554</v>
      </c>
      <c r="V236" t="s">
        <v>37</v>
      </c>
      <c r="W236" t="s">
        <v>89</v>
      </c>
      <c r="AD236" t="s">
        <v>194</v>
      </c>
    </row>
    <row r="237" spans="1:30" ht="15" customHeight="1" x14ac:dyDescent="0.25">
      <c r="A237">
        <v>40075</v>
      </c>
      <c r="B237" s="1">
        <v>45924</v>
      </c>
      <c r="C237" t="s">
        <v>53</v>
      </c>
      <c r="D237" t="s">
        <v>828</v>
      </c>
      <c r="E237" s="1">
        <v>45951</v>
      </c>
      <c r="F237" s="1">
        <v>45951</v>
      </c>
      <c r="G237" t="s">
        <v>145</v>
      </c>
      <c r="H237">
        <v>88238374</v>
      </c>
      <c r="I237" t="s">
        <v>188</v>
      </c>
      <c r="J237" t="str">
        <f>IF(
   COUNTIFS(
      $E$2:E237,TRIM(UPPER(E237)),
      $G$2:G237,TRIM(UPPER(G237)),
      $C$2:C237,TEXT(C237,"aaaa-mm-dd"),
      $I$2:I237,TEXT(I237,"0")
   )&gt;1,
   "Duplicado",
   "Único"
)</f>
        <v>Único</v>
      </c>
      <c r="K237">
        <v>3107601366</v>
      </c>
      <c r="L237" t="s">
        <v>189</v>
      </c>
      <c r="M237" s="1">
        <v>28872</v>
      </c>
      <c r="N237">
        <v>46</v>
      </c>
      <c r="O237" t="s">
        <v>74</v>
      </c>
      <c r="P237" t="s">
        <v>61</v>
      </c>
      <c r="Q237" t="s">
        <v>190</v>
      </c>
      <c r="R237" t="s">
        <v>191</v>
      </c>
      <c r="S237" t="s">
        <v>192</v>
      </c>
      <c r="T237" t="s">
        <v>193</v>
      </c>
      <c r="U237" s="2">
        <v>45924.007037962961</v>
      </c>
      <c r="V237" t="s">
        <v>37</v>
      </c>
      <c r="W237" t="s">
        <v>38</v>
      </c>
      <c r="AD237" t="s">
        <v>195</v>
      </c>
    </row>
    <row r="238" spans="1:30" ht="15" customHeight="1" x14ac:dyDescent="0.25">
      <c r="A238">
        <v>40074</v>
      </c>
      <c r="B238" s="1">
        <v>45924</v>
      </c>
      <c r="C238" t="s">
        <v>29</v>
      </c>
      <c r="D238" t="s">
        <v>70</v>
      </c>
      <c r="E238" s="1">
        <v>45951</v>
      </c>
      <c r="F238" s="1">
        <v>45951</v>
      </c>
      <c r="G238" t="s">
        <v>30</v>
      </c>
      <c r="H238">
        <v>88238374</v>
      </c>
      <c r="I238" t="s">
        <v>188</v>
      </c>
      <c r="J238" t="str">
        <f>IF(
   COUNTIFS(
      $E$2:E238,TRIM(UPPER(E238)),
      $G$2:G238,TRIM(UPPER(G238)),
      $C$2:C238,TEXT(C238,"aaaa-mm-dd"),
      $I$2:I238,TEXT(I238,"0")
   )&gt;1,
   "Duplicado",
   "Único"
)</f>
        <v>Único</v>
      </c>
      <c r="K238">
        <v>3107601366</v>
      </c>
      <c r="L238" t="s">
        <v>189</v>
      </c>
      <c r="M238" s="1">
        <v>28872</v>
      </c>
      <c r="N238">
        <v>46</v>
      </c>
      <c r="O238" t="s">
        <v>74</v>
      </c>
      <c r="P238" t="s">
        <v>61</v>
      </c>
      <c r="Q238" t="s">
        <v>190</v>
      </c>
      <c r="R238" t="s">
        <v>191</v>
      </c>
      <c r="S238" t="s">
        <v>192</v>
      </c>
      <c r="T238" t="s">
        <v>193</v>
      </c>
      <c r="U238" s="2">
        <v>45924.007019791665</v>
      </c>
      <c r="V238" t="s">
        <v>37</v>
      </c>
      <c r="W238" t="s">
        <v>38</v>
      </c>
      <c r="X238" s="3" t="s">
        <v>39</v>
      </c>
      <c r="Y238" t="s">
        <v>67</v>
      </c>
      <c r="AD238" t="s">
        <v>196</v>
      </c>
    </row>
    <row r="239" spans="1:30" ht="15" customHeight="1" x14ac:dyDescent="0.25">
      <c r="A239">
        <v>40076</v>
      </c>
      <c r="B239" s="1">
        <v>45924</v>
      </c>
      <c r="C239" t="s">
        <v>53</v>
      </c>
      <c r="D239" t="s">
        <v>81</v>
      </c>
      <c r="E239" s="1">
        <v>45951</v>
      </c>
      <c r="F239" s="1">
        <v>45951</v>
      </c>
      <c r="G239" t="s">
        <v>82</v>
      </c>
      <c r="H239">
        <v>88238374</v>
      </c>
      <c r="I239" t="s">
        <v>188</v>
      </c>
      <c r="J239" t="str">
        <f>IF(
   COUNTIFS(
      $E$2:E239,TRIM(UPPER(E239)),
      $G$2:G239,TRIM(UPPER(G239)),
      $C$2:C239,TEXT(C239,"aaaa-mm-dd"),
      $I$2:I239,TEXT(I239,"0")
   )&gt;1,
   "Duplicado",
   "Único"
)</f>
        <v>Único</v>
      </c>
      <c r="K239">
        <v>3107601366</v>
      </c>
      <c r="L239" t="s">
        <v>189</v>
      </c>
      <c r="M239" s="1">
        <v>28872</v>
      </c>
      <c r="N239">
        <v>46</v>
      </c>
      <c r="O239" t="s">
        <v>74</v>
      </c>
      <c r="P239" t="s">
        <v>61</v>
      </c>
      <c r="Q239" t="s">
        <v>190</v>
      </c>
      <c r="R239" t="s">
        <v>191</v>
      </c>
      <c r="S239" t="s">
        <v>192</v>
      </c>
      <c r="T239" t="s">
        <v>193</v>
      </c>
      <c r="U239" s="2">
        <v>45924.007049305554</v>
      </c>
      <c r="V239" t="s">
        <v>37</v>
      </c>
      <c r="W239" t="s">
        <v>89</v>
      </c>
      <c r="AD239" t="s">
        <v>194</v>
      </c>
    </row>
    <row r="240" spans="1:30" ht="15" customHeight="1" x14ac:dyDescent="0.25">
      <c r="A240">
        <v>40076</v>
      </c>
      <c r="B240" s="1">
        <v>45924</v>
      </c>
      <c r="C240" t="s">
        <v>53</v>
      </c>
      <c r="D240" t="s">
        <v>81</v>
      </c>
      <c r="E240" s="1">
        <v>45951</v>
      </c>
      <c r="F240" s="1">
        <v>45951</v>
      </c>
      <c r="G240" t="s">
        <v>82</v>
      </c>
      <c r="H240">
        <v>88238374</v>
      </c>
      <c r="I240" t="s">
        <v>188</v>
      </c>
      <c r="J240" t="str">
        <f>IF(
   COUNTIFS(
      $E$2:E240,TRIM(UPPER(E240)),
      $G$2:G240,TRIM(UPPER(G240)),
      $C$2:C240,TEXT(C240,"aaaa-mm-dd"),
      $I$2:I240,TEXT(I240,"0")
   )&gt;1,
   "Duplicado",
   "Único"
)</f>
        <v>Único</v>
      </c>
      <c r="K240">
        <v>3107601366</v>
      </c>
      <c r="L240" t="s">
        <v>189</v>
      </c>
      <c r="M240" s="1">
        <v>28872</v>
      </c>
      <c r="N240">
        <v>46</v>
      </c>
      <c r="O240" t="s">
        <v>74</v>
      </c>
      <c r="P240" t="s">
        <v>61</v>
      </c>
      <c r="Q240" t="s">
        <v>190</v>
      </c>
      <c r="R240" t="s">
        <v>191</v>
      </c>
      <c r="S240" t="s">
        <v>192</v>
      </c>
      <c r="T240" t="s">
        <v>193</v>
      </c>
      <c r="U240" s="2">
        <v>45924.007049305554</v>
      </c>
      <c r="V240" t="s">
        <v>37</v>
      </c>
      <c r="W240" t="s">
        <v>89</v>
      </c>
      <c r="AD240" t="s">
        <v>194</v>
      </c>
    </row>
    <row r="241" spans="1:30" ht="15" customHeight="1" x14ac:dyDescent="0.25">
      <c r="A241">
        <v>40076</v>
      </c>
      <c r="B241" s="1">
        <v>45924</v>
      </c>
      <c r="C241" t="s">
        <v>53</v>
      </c>
      <c r="D241" t="s">
        <v>81</v>
      </c>
      <c r="E241" s="1">
        <v>45951</v>
      </c>
      <c r="F241" s="1">
        <v>45951</v>
      </c>
      <c r="G241" t="s">
        <v>82</v>
      </c>
      <c r="H241">
        <v>88238374</v>
      </c>
      <c r="I241" t="s">
        <v>188</v>
      </c>
      <c r="J241" t="str">
        <f>IF(
   COUNTIFS(
      $E$2:E241,TRIM(UPPER(E241)),
      $G$2:G241,TRIM(UPPER(G241)),
      $C$2:C241,TEXT(C241,"aaaa-mm-dd"),
      $I$2:I241,TEXT(I241,"0")
   )&gt;1,
   "Duplicado",
   "Único"
)</f>
        <v>Único</v>
      </c>
      <c r="K241">
        <v>3107601366</v>
      </c>
      <c r="L241" t="s">
        <v>189</v>
      </c>
      <c r="M241" s="1">
        <v>28872</v>
      </c>
      <c r="N241">
        <v>46</v>
      </c>
      <c r="O241" t="s">
        <v>74</v>
      </c>
      <c r="P241" t="s">
        <v>61</v>
      </c>
      <c r="Q241" t="s">
        <v>190</v>
      </c>
      <c r="R241" t="s">
        <v>191</v>
      </c>
      <c r="S241" t="s">
        <v>192</v>
      </c>
      <c r="T241" t="s">
        <v>193</v>
      </c>
      <c r="U241" s="2">
        <v>45924.007049305554</v>
      </c>
      <c r="V241" t="s">
        <v>37</v>
      </c>
      <c r="W241" t="s">
        <v>89</v>
      </c>
      <c r="AD241" t="s">
        <v>194</v>
      </c>
    </row>
    <row r="242" spans="1:30" ht="15" customHeight="1" x14ac:dyDescent="0.25">
      <c r="A242">
        <v>40076</v>
      </c>
      <c r="B242" s="1">
        <v>45924</v>
      </c>
      <c r="C242" t="s">
        <v>53</v>
      </c>
      <c r="D242" t="s">
        <v>81</v>
      </c>
      <c r="E242" s="1">
        <v>45951</v>
      </c>
      <c r="F242" s="1">
        <v>45951</v>
      </c>
      <c r="G242" t="s">
        <v>82</v>
      </c>
      <c r="H242">
        <v>88238374</v>
      </c>
      <c r="I242" t="s">
        <v>188</v>
      </c>
      <c r="J242" t="str">
        <f>IF(
   COUNTIFS(
      $E$2:E242,TRIM(UPPER(E242)),
      $G$2:G242,TRIM(UPPER(G242)),
      $C$2:C242,TEXT(C242,"aaaa-mm-dd"),
      $I$2:I242,TEXT(I242,"0")
   )&gt;1,
   "Duplicado",
   "Único"
)</f>
        <v>Único</v>
      </c>
      <c r="K242">
        <v>3107601366</v>
      </c>
      <c r="L242" t="s">
        <v>189</v>
      </c>
      <c r="M242" s="1">
        <v>28872</v>
      </c>
      <c r="N242">
        <v>46</v>
      </c>
      <c r="O242" t="s">
        <v>74</v>
      </c>
      <c r="P242" t="s">
        <v>61</v>
      </c>
      <c r="Q242" t="s">
        <v>190</v>
      </c>
      <c r="R242" t="s">
        <v>191</v>
      </c>
      <c r="S242" t="s">
        <v>192</v>
      </c>
      <c r="T242" t="s">
        <v>193</v>
      </c>
      <c r="U242" s="2">
        <v>45924.007049305554</v>
      </c>
      <c r="V242" t="s">
        <v>37</v>
      </c>
      <c r="W242" t="s">
        <v>89</v>
      </c>
      <c r="AD242" t="s">
        <v>194</v>
      </c>
    </row>
    <row r="243" spans="1:30" ht="15" customHeight="1" x14ac:dyDescent="0.25">
      <c r="A243">
        <v>40742</v>
      </c>
      <c r="B243" s="1">
        <v>45929</v>
      </c>
      <c r="C243" t="s">
        <v>276</v>
      </c>
      <c r="D243" t="s">
        <v>157</v>
      </c>
      <c r="E243" s="1">
        <v>45932</v>
      </c>
      <c r="F243" s="1">
        <v>45932</v>
      </c>
      <c r="G243" t="s">
        <v>277</v>
      </c>
      <c r="H243">
        <v>25833548</v>
      </c>
      <c r="I243" t="s">
        <v>782</v>
      </c>
      <c r="J243" t="str">
        <f>IF(
   COUNTIFS(
      $E$2:E243,TRIM(UPPER(E243)),
      $G$2:G243,TRIM(UPPER(G243)),
      $C$2:C243,TEXT(C243,"aaaa-mm-dd"),
      $I$2:I243,TEXT(I243,"0")
   )&gt;1,
   "Duplicado",
   "Único"
)</f>
        <v>Único</v>
      </c>
      <c r="K243">
        <v>3166927163</v>
      </c>
      <c r="L243" t="s">
        <v>783</v>
      </c>
      <c r="M243" s="1">
        <v>23385</v>
      </c>
      <c r="N243">
        <v>61</v>
      </c>
      <c r="O243" t="s">
        <v>784</v>
      </c>
      <c r="P243" t="s">
        <v>61</v>
      </c>
      <c r="Q243" t="s">
        <v>785</v>
      </c>
      <c r="R243" t="s">
        <v>786</v>
      </c>
      <c r="S243" t="s">
        <v>86</v>
      </c>
      <c r="T243" t="s">
        <v>440</v>
      </c>
      <c r="U243" s="2">
        <v>45929.007651388885</v>
      </c>
      <c r="V243" t="s">
        <v>37</v>
      </c>
      <c r="W243" t="s">
        <v>89</v>
      </c>
      <c r="AD243" t="s">
        <v>787</v>
      </c>
    </row>
    <row r="244" spans="1:30" ht="15" customHeight="1" x14ac:dyDescent="0.25">
      <c r="A244">
        <v>45112</v>
      </c>
      <c r="B244" s="1">
        <v>45948</v>
      </c>
      <c r="C244" t="s">
        <v>53</v>
      </c>
      <c r="D244" t="s">
        <v>70</v>
      </c>
      <c r="E244" s="1">
        <v>45955</v>
      </c>
      <c r="F244" s="1">
        <v>45955</v>
      </c>
      <c r="G244" t="s">
        <v>91</v>
      </c>
      <c r="H244">
        <v>22735330</v>
      </c>
      <c r="I244" t="s">
        <v>445</v>
      </c>
      <c r="J244" t="str">
        <f>IF(
   COUNTIFS(
      $E$2:E244,TRIM(UPPER(E244)),
      $G$2:G244,TRIM(UPPER(G244)),
      $C$2:C244,TEXT(C244,"aaaa-mm-dd"),
      $I$2:I244,TEXT(I244,"0")
   )&gt;1,
   "Duplicado",
   "Único"
)</f>
        <v>Único</v>
      </c>
      <c r="K244">
        <v>3003034476</v>
      </c>
      <c r="L244" t="s">
        <v>446</v>
      </c>
      <c r="M244" s="1">
        <v>30349</v>
      </c>
      <c r="N244">
        <v>42</v>
      </c>
      <c r="O244">
        <v>1</v>
      </c>
      <c r="P244" t="s">
        <v>359</v>
      </c>
      <c r="Q244" t="s">
        <v>447</v>
      </c>
      <c r="S244" t="s">
        <v>448</v>
      </c>
      <c r="T244" t="s">
        <v>281</v>
      </c>
      <c r="U244" s="2">
        <v>45948.009461226851</v>
      </c>
      <c r="V244" t="s">
        <v>37</v>
      </c>
      <c r="W244" t="s">
        <v>38</v>
      </c>
      <c r="AD244" t="s">
        <v>449</v>
      </c>
    </row>
    <row r="245" spans="1:30" ht="15" customHeight="1" x14ac:dyDescent="0.25">
      <c r="A245">
        <v>42319</v>
      </c>
      <c r="B245" s="1">
        <v>45934</v>
      </c>
      <c r="C245" t="s">
        <v>53</v>
      </c>
      <c r="D245" t="s">
        <v>70</v>
      </c>
      <c r="E245" s="1">
        <v>45941</v>
      </c>
      <c r="F245" s="1">
        <v>45941</v>
      </c>
      <c r="G245" t="s">
        <v>145</v>
      </c>
      <c r="H245">
        <v>22735330</v>
      </c>
      <c r="I245" t="s">
        <v>445</v>
      </c>
      <c r="J245" t="str">
        <f>IF(
   COUNTIFS(
      $E$2:E245,TRIM(UPPER(E245)),
      $G$2:G245,TRIM(UPPER(G245)),
      $C$2:C245,TEXT(C245,"aaaa-mm-dd"),
      $I$2:I245,TEXT(I245,"0")
   )&gt;1,
   "Duplicado",
   "Único"
)</f>
        <v>Único</v>
      </c>
      <c r="K245">
        <v>3003034476</v>
      </c>
      <c r="L245" t="s">
        <v>446</v>
      </c>
      <c r="M245" s="1">
        <v>30349</v>
      </c>
      <c r="N245">
        <v>42</v>
      </c>
      <c r="O245">
        <v>1</v>
      </c>
      <c r="P245" t="s">
        <v>359</v>
      </c>
      <c r="Q245" t="s">
        <v>447</v>
      </c>
      <c r="S245" t="s">
        <v>448</v>
      </c>
      <c r="T245" t="s">
        <v>281</v>
      </c>
      <c r="U245" s="2">
        <v>45934.007942129632</v>
      </c>
      <c r="V245" t="s">
        <v>37</v>
      </c>
      <c r="W245" t="s">
        <v>38</v>
      </c>
      <c r="AD245" t="s">
        <v>450</v>
      </c>
    </row>
    <row r="246" spans="1:30" ht="15" customHeight="1" x14ac:dyDescent="0.25">
      <c r="A246">
        <v>42315</v>
      </c>
      <c r="B246" s="1">
        <v>45934</v>
      </c>
      <c r="C246" t="s">
        <v>53</v>
      </c>
      <c r="D246" t="s">
        <v>81</v>
      </c>
      <c r="E246" s="1">
        <v>45941</v>
      </c>
      <c r="F246" s="1">
        <v>45941</v>
      </c>
      <c r="G246" t="s">
        <v>82</v>
      </c>
      <c r="H246">
        <v>22735330</v>
      </c>
      <c r="I246" t="s">
        <v>445</v>
      </c>
      <c r="J246" t="str">
        <f>IF(
   COUNTIFS(
      $E$2:E246,TRIM(UPPER(E246)),
      $G$2:G246,TRIM(UPPER(G246)),
      $C$2:C246,TEXT(C246,"aaaa-mm-dd"),
      $I$2:I246,TEXT(I246,"0")
   )&gt;1,
   "Duplicado",
   "Único"
)</f>
        <v>Único</v>
      </c>
      <c r="K246">
        <v>3003034476</v>
      </c>
      <c r="L246" t="s">
        <v>446</v>
      </c>
      <c r="M246" s="1">
        <v>30349</v>
      </c>
      <c r="N246">
        <v>42</v>
      </c>
      <c r="O246">
        <v>1</v>
      </c>
      <c r="P246" t="s">
        <v>359</v>
      </c>
      <c r="Q246" t="s">
        <v>447</v>
      </c>
      <c r="S246" t="s">
        <v>448</v>
      </c>
      <c r="T246" t="s">
        <v>281</v>
      </c>
      <c r="U246" s="2">
        <v>45934.00793310185</v>
      </c>
      <c r="V246" t="s">
        <v>37</v>
      </c>
      <c r="W246" t="s">
        <v>89</v>
      </c>
      <c r="AD246" t="s">
        <v>451</v>
      </c>
    </row>
    <row r="247" spans="1:30" ht="15" customHeight="1" x14ac:dyDescent="0.25">
      <c r="A247">
        <v>40561</v>
      </c>
      <c r="B247" s="1">
        <v>45927</v>
      </c>
      <c r="C247" t="s">
        <v>53</v>
      </c>
      <c r="D247" t="s">
        <v>54</v>
      </c>
      <c r="E247" s="1">
        <v>45934</v>
      </c>
      <c r="F247" s="1">
        <v>45934</v>
      </c>
      <c r="G247" t="s">
        <v>91</v>
      </c>
      <c r="H247">
        <v>22735330</v>
      </c>
      <c r="I247" t="s">
        <v>445</v>
      </c>
      <c r="J247" t="str">
        <f>IF(
   COUNTIFS(
      $E$2:E247,TRIM(UPPER(E247)),
      $G$2:G247,TRIM(UPPER(G247)),
      $C$2:C247,TEXT(C247,"aaaa-mm-dd"),
      $I$2:I247,TEXT(I247,"0")
   )&gt;1,
   "Duplicado",
   "Único"
)</f>
        <v>Único</v>
      </c>
      <c r="K247">
        <v>3003034476</v>
      </c>
      <c r="L247" t="s">
        <v>446</v>
      </c>
      <c r="M247" s="1">
        <v>30349</v>
      </c>
      <c r="N247">
        <v>42</v>
      </c>
      <c r="O247">
        <v>1</v>
      </c>
      <c r="P247" t="s">
        <v>359</v>
      </c>
      <c r="Q247" t="s">
        <v>447</v>
      </c>
      <c r="S247" t="s">
        <v>448</v>
      </c>
      <c r="T247" t="s">
        <v>281</v>
      </c>
      <c r="U247" s="2">
        <v>45927.00712141204</v>
      </c>
      <c r="V247" t="s">
        <v>37</v>
      </c>
      <c r="W247" t="s">
        <v>38</v>
      </c>
      <c r="AD247" t="s">
        <v>452</v>
      </c>
    </row>
    <row r="248" spans="1:30" ht="15" customHeight="1" x14ac:dyDescent="0.25">
      <c r="A248">
        <v>43811</v>
      </c>
      <c r="B248" s="1">
        <v>45941</v>
      </c>
      <c r="C248" t="s">
        <v>53</v>
      </c>
      <c r="D248" t="s">
        <v>54</v>
      </c>
      <c r="E248" s="1">
        <v>45948</v>
      </c>
      <c r="F248" s="1">
        <v>45948</v>
      </c>
      <c r="G248" t="s">
        <v>91</v>
      </c>
      <c r="H248">
        <v>22735330</v>
      </c>
      <c r="I248" t="s">
        <v>445</v>
      </c>
      <c r="J248" t="str">
        <f>IF(
   COUNTIFS(
      $E$2:E248,TRIM(UPPER(E248)),
      $G$2:G248,TRIM(UPPER(G248)),
      $C$2:C248,TEXT(C248,"aaaa-mm-dd"),
      $I$2:I248,TEXT(I248,"0")
   )&gt;1,
   "Duplicado",
   "Único"
)</f>
        <v>Único</v>
      </c>
      <c r="K248">
        <v>3003034476</v>
      </c>
      <c r="L248" t="s">
        <v>446</v>
      </c>
      <c r="M248" s="1">
        <v>30349</v>
      </c>
      <c r="N248">
        <v>42</v>
      </c>
      <c r="O248">
        <v>1</v>
      </c>
      <c r="P248" t="s">
        <v>359</v>
      </c>
      <c r="Q248" t="s">
        <v>447</v>
      </c>
      <c r="S248" t="s">
        <v>448</v>
      </c>
      <c r="T248" t="s">
        <v>281</v>
      </c>
      <c r="U248" s="2">
        <v>45941.009144097225</v>
      </c>
      <c r="V248" t="s">
        <v>37</v>
      </c>
      <c r="W248" t="s">
        <v>38</v>
      </c>
      <c r="AD248" t="s">
        <v>453</v>
      </c>
    </row>
    <row r="249" spans="1:30" ht="15" customHeight="1" x14ac:dyDescent="0.25">
      <c r="A249">
        <v>43810</v>
      </c>
      <c r="B249" s="1">
        <v>45941</v>
      </c>
      <c r="C249" t="s">
        <v>53</v>
      </c>
      <c r="D249" t="s">
        <v>81</v>
      </c>
      <c r="E249" s="1">
        <v>45948</v>
      </c>
      <c r="F249" s="1">
        <v>45948</v>
      </c>
      <c r="G249" t="s">
        <v>82</v>
      </c>
      <c r="H249">
        <v>22735330</v>
      </c>
      <c r="I249" t="s">
        <v>445</v>
      </c>
      <c r="J249" t="str">
        <f>IF(
   COUNTIFS(
      $E$2:E249,TRIM(UPPER(E249)),
      $G$2:G249,TRIM(UPPER(G249)),
      $C$2:C249,TEXT(C249,"aaaa-mm-dd"),
      $I$2:I249,TEXT(I249,"0")
   )&gt;1,
   "Duplicado",
   "Único"
)</f>
        <v>Único</v>
      </c>
      <c r="K249">
        <v>3003034476</v>
      </c>
      <c r="L249" t="s">
        <v>446</v>
      </c>
      <c r="M249" s="1">
        <v>30349</v>
      </c>
      <c r="N249">
        <v>42</v>
      </c>
      <c r="O249">
        <v>1</v>
      </c>
      <c r="P249" t="s">
        <v>359</v>
      </c>
      <c r="Q249" t="s">
        <v>447</v>
      </c>
      <c r="S249" t="s">
        <v>448</v>
      </c>
      <c r="T249" t="s">
        <v>281</v>
      </c>
      <c r="U249" s="2">
        <v>45941.009135300927</v>
      </c>
      <c r="V249" t="s">
        <v>37</v>
      </c>
      <c r="W249" t="s">
        <v>89</v>
      </c>
      <c r="AD249" t="s">
        <v>454</v>
      </c>
    </row>
    <row r="250" spans="1:30" ht="15" customHeight="1" x14ac:dyDescent="0.25">
      <c r="A250">
        <v>34624</v>
      </c>
      <c r="B250" s="1">
        <v>45883</v>
      </c>
      <c r="C250" t="s">
        <v>29</v>
      </c>
      <c r="D250" t="s">
        <v>828</v>
      </c>
      <c r="E250" s="1">
        <v>45937</v>
      </c>
      <c r="F250" s="1">
        <v>45937</v>
      </c>
      <c r="G250" t="s">
        <v>42</v>
      </c>
      <c r="H250">
        <v>2666338</v>
      </c>
      <c r="I250" t="s">
        <v>270</v>
      </c>
      <c r="J250" t="str">
        <f>IF(
   COUNTIFS(
      $E$2:E250,TRIM(UPPER(E250)),
      $G$2:G250,TRIM(UPPER(G250)),
      $C$2:C250,TEXT(C250,"aaaa-mm-dd"),
      $I$2:I250,TEXT(I250,"0")
   )&gt;1,
   "Duplicado",
   "Único"
)</f>
        <v>Único</v>
      </c>
      <c r="K250">
        <v>6136211241</v>
      </c>
      <c r="L250" t="s">
        <v>271</v>
      </c>
      <c r="M250" s="1">
        <v>34470</v>
      </c>
      <c r="N250">
        <v>31</v>
      </c>
      <c r="O250">
        <v>1</v>
      </c>
      <c r="P250" t="s">
        <v>99</v>
      </c>
      <c r="Q250" t="s">
        <v>272</v>
      </c>
      <c r="S250" t="s">
        <v>273</v>
      </c>
      <c r="U250" s="2">
        <v>45883.006960069448</v>
      </c>
      <c r="V250" t="s">
        <v>37</v>
      </c>
      <c r="W250" t="s">
        <v>50</v>
      </c>
      <c r="X250" t="s">
        <v>274</v>
      </c>
      <c r="Y250" t="s">
        <v>163</v>
      </c>
      <c r="AD250" t="s">
        <v>275</v>
      </c>
    </row>
    <row r="251" spans="1:30" ht="15" customHeight="1" x14ac:dyDescent="0.25">
      <c r="A251">
        <v>42957</v>
      </c>
      <c r="B251" s="1">
        <v>45937</v>
      </c>
      <c r="C251" t="s">
        <v>147</v>
      </c>
      <c r="D251" t="s">
        <v>81</v>
      </c>
      <c r="E251" s="1">
        <v>45944</v>
      </c>
      <c r="F251" s="1">
        <v>45944</v>
      </c>
      <c r="G251" t="s">
        <v>148</v>
      </c>
      <c r="H251">
        <v>1049025776</v>
      </c>
      <c r="I251" t="s">
        <v>505</v>
      </c>
      <c r="J251" t="str">
        <f>IF(
   COUNTIFS(
      $E$2:E251,TRIM(UPPER(E251)),
      $G$2:G251,TRIM(UPPER(G251)),
      $C$2:C251,TEXT(C251,"aaaa-mm-dd"),
      $I$2:I251,TEXT(I251,"0")
   )&gt;1,
   "Duplicado",
   "Único"
)</f>
        <v>Único</v>
      </c>
      <c r="K251">
        <v>3184371305</v>
      </c>
      <c r="L251" t="s">
        <v>506</v>
      </c>
      <c r="M251" s="1">
        <v>34099</v>
      </c>
      <c r="N251">
        <v>32</v>
      </c>
      <c r="O251">
        <v>1</v>
      </c>
      <c r="P251" t="s">
        <v>45</v>
      </c>
      <c r="Q251" t="s">
        <v>507</v>
      </c>
      <c r="R251" t="s">
        <v>508</v>
      </c>
      <c r="S251" t="s">
        <v>509</v>
      </c>
      <c r="T251" t="s">
        <v>510</v>
      </c>
      <c r="U251" s="2">
        <v>45937.00872766204</v>
      </c>
      <c r="V251" t="s">
        <v>37</v>
      </c>
      <c r="W251" t="s">
        <v>50</v>
      </c>
      <c r="AD251" t="s">
        <v>511</v>
      </c>
    </row>
    <row r="252" spans="1:30" ht="15" customHeight="1" x14ac:dyDescent="0.25">
      <c r="A252">
        <v>42759</v>
      </c>
      <c r="B252" s="1">
        <v>45936</v>
      </c>
      <c r="C252" t="s">
        <v>57</v>
      </c>
      <c r="D252" t="s">
        <v>70</v>
      </c>
      <c r="E252" s="1">
        <v>45937</v>
      </c>
      <c r="F252" s="1">
        <v>45937</v>
      </c>
      <c r="G252" t="s">
        <v>57</v>
      </c>
      <c r="H252">
        <v>1049025776</v>
      </c>
      <c r="I252" t="s">
        <v>505</v>
      </c>
      <c r="J252" t="str">
        <f>IF(
   COUNTIFS(
      $E$2:E252,TRIM(UPPER(E252)),
      $G$2:G252,TRIM(UPPER(G252)),
      $C$2:C252,TEXT(C252,"aaaa-mm-dd"),
      $I$2:I252,TEXT(I252,"0")
   )&gt;1,
   "Duplicado",
   "Único"
)</f>
        <v>Único</v>
      </c>
      <c r="K252">
        <v>3184371305</v>
      </c>
      <c r="L252" t="s">
        <v>506</v>
      </c>
      <c r="M252" s="1">
        <v>34099</v>
      </c>
      <c r="N252">
        <v>32</v>
      </c>
      <c r="O252">
        <v>1</v>
      </c>
      <c r="P252" t="s">
        <v>45</v>
      </c>
      <c r="Q252" t="s">
        <v>507</v>
      </c>
      <c r="R252" t="s">
        <v>508</v>
      </c>
      <c r="S252" t="s">
        <v>509</v>
      </c>
      <c r="T252" t="s">
        <v>510</v>
      </c>
      <c r="U252" s="2">
        <v>45936.010557986112</v>
      </c>
      <c r="V252" t="s">
        <v>37</v>
      </c>
      <c r="W252" t="s">
        <v>38</v>
      </c>
      <c r="X252" t="s">
        <v>268</v>
      </c>
      <c r="Y252" t="s">
        <v>67</v>
      </c>
      <c r="Z252" t="s">
        <v>68</v>
      </c>
      <c r="AA252" t="s">
        <v>68</v>
      </c>
      <c r="AB252" t="s">
        <v>68</v>
      </c>
      <c r="AC252" t="s">
        <v>68</v>
      </c>
      <c r="AD252" t="s">
        <v>512</v>
      </c>
    </row>
    <row r="253" spans="1:30" ht="15" customHeight="1" x14ac:dyDescent="0.25">
      <c r="A253">
        <v>42624</v>
      </c>
      <c r="B253" s="1">
        <v>45936</v>
      </c>
      <c r="C253" t="s">
        <v>513</v>
      </c>
      <c r="D253" t="s">
        <v>157</v>
      </c>
      <c r="E253" s="1">
        <v>45937</v>
      </c>
      <c r="F253" s="1">
        <v>45937</v>
      </c>
      <c r="G253" t="s">
        <v>514</v>
      </c>
      <c r="H253">
        <v>1049025776</v>
      </c>
      <c r="I253" t="s">
        <v>505</v>
      </c>
      <c r="J253" t="str">
        <f>IF(
   COUNTIFS(
      $E$2:E253,TRIM(UPPER(E253)),
      $G$2:G253,TRIM(UPPER(G253)),
      $C$2:C253,TEXT(C253,"aaaa-mm-dd"),
      $I$2:I253,TEXT(I253,"0")
   )&gt;1,
   "Duplicado",
   "Único"
)</f>
        <v>Único</v>
      </c>
      <c r="K253">
        <v>3184371305</v>
      </c>
      <c r="L253" t="s">
        <v>506</v>
      </c>
      <c r="M253" s="1">
        <v>34099</v>
      </c>
      <c r="N253">
        <v>32</v>
      </c>
      <c r="O253">
        <v>1</v>
      </c>
      <c r="P253" t="s">
        <v>45</v>
      </c>
      <c r="Q253" t="s">
        <v>507</v>
      </c>
      <c r="R253" t="s">
        <v>508</v>
      </c>
      <c r="S253" t="s">
        <v>509</v>
      </c>
      <c r="T253" t="s">
        <v>510</v>
      </c>
      <c r="U253" s="2">
        <v>45936.006088657407</v>
      </c>
      <c r="V253" t="s">
        <v>37</v>
      </c>
      <c r="W253" t="s">
        <v>38</v>
      </c>
      <c r="AD253" t="s">
        <v>515</v>
      </c>
    </row>
    <row r="254" spans="1:30" ht="15" customHeight="1" x14ac:dyDescent="0.25">
      <c r="A254">
        <v>41760</v>
      </c>
      <c r="B254" s="1">
        <v>45932</v>
      </c>
      <c r="C254" t="s">
        <v>57</v>
      </c>
      <c r="D254" t="s">
        <v>70</v>
      </c>
      <c r="E254" s="1">
        <v>45933</v>
      </c>
      <c r="F254" s="1">
        <v>45933</v>
      </c>
      <c r="G254" t="s">
        <v>57</v>
      </c>
      <c r="H254">
        <v>1049025776</v>
      </c>
      <c r="I254" t="s">
        <v>505</v>
      </c>
      <c r="J254" t="str">
        <f>IF(
   COUNTIFS(
      $E$2:E254,TRIM(UPPER(E254)),
      $G$2:G254,TRIM(UPPER(G254)),
      $C$2:C254,TEXT(C254,"aaaa-mm-dd"),
      $I$2:I254,TEXT(I254,"0")
   )&gt;1,
   "Duplicado",
   "Único"
)</f>
        <v>Único</v>
      </c>
      <c r="K254">
        <v>3184371305</v>
      </c>
      <c r="L254" t="s">
        <v>506</v>
      </c>
      <c r="M254" s="1">
        <v>34099</v>
      </c>
      <c r="N254">
        <v>32</v>
      </c>
      <c r="O254">
        <v>1</v>
      </c>
      <c r="P254" t="s">
        <v>45</v>
      </c>
      <c r="Q254" t="s">
        <v>507</v>
      </c>
      <c r="R254" t="s">
        <v>508</v>
      </c>
      <c r="S254" t="s">
        <v>509</v>
      </c>
      <c r="T254" t="s">
        <v>510</v>
      </c>
      <c r="U254" s="2">
        <v>45932.011279282407</v>
      </c>
      <c r="V254" t="s">
        <v>37</v>
      </c>
      <c r="W254" t="s">
        <v>38</v>
      </c>
      <c r="X254" t="s">
        <v>268</v>
      </c>
      <c r="Y254" t="s">
        <v>67</v>
      </c>
      <c r="Z254" t="s">
        <v>68</v>
      </c>
      <c r="AA254" t="s">
        <v>68</v>
      </c>
      <c r="AB254" t="s">
        <v>68</v>
      </c>
      <c r="AC254" t="s">
        <v>68</v>
      </c>
      <c r="AD254" t="s">
        <v>516</v>
      </c>
    </row>
  </sheetData>
  <autoFilter ref="A1:AD254" xr:uid="{721982F4-B9A0-44FE-83B0-8AA8ED7078A5}">
    <sortState xmlns:xlrd2="http://schemas.microsoft.com/office/spreadsheetml/2017/richdata2" ref="A2:AD254">
      <sortCondition ref="I1:I2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atenciones-data-2025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 SOPORTE</cp:lastModifiedBy>
  <dcterms:created xsi:type="dcterms:W3CDTF">2025-11-18T14:07:03Z</dcterms:created>
  <dcterms:modified xsi:type="dcterms:W3CDTF">2025-11-18T14:09:04Z</dcterms:modified>
</cp:coreProperties>
</file>